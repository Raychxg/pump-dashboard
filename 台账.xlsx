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 tabRatio="500" activeTab="6"/>
  </bookViews>
  <sheets>
    <sheet name="看板" sheetId="1" r:id="rId1"/>
    <sheet name="生产明细" sheetId="2" r:id="rId2"/>
    <sheet name="设备状态" sheetId="3" r:id="rId3"/>
    <sheet name="模具状态" sheetId="4" r:id="rId4"/>
    <sheet name="停机记录" sheetId="5" r:id="rId5"/>
    <sheet name="汇总" sheetId="6" r:id="rId6"/>
    <sheet name="基础配置" sheetId="7" r:id="rId7"/>
  </sheets>
  <definedNames>
    <definedName name="_xlnm._FilterDatabase" localSheetId="1" hidden="1">生产明细!$A$1:$M$17</definedName>
    <definedName name="_xlnm._FilterDatabase" localSheetId="2" hidden="1">设备状态!$A$1:$R$17</definedName>
    <definedName name="_xlnm._FilterDatabase" localSheetId="3" hidden="1">模具状态!$A$1:$N$20</definedName>
    <definedName name="_xlnm._FilterDatabase" localSheetId="4" hidden="1">停机记录!$A$1:$I$20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<sst xmlns="http://schemas.openxmlformats.org/spreadsheetml/2006/main" count="1528" uniqueCount="1254">
  <si>
    <t>泵业冲压车间生产状态综合看板</t>
  </si>
  <si>
    <r>
      <rPr>
        <sz val="10"/>
        <color rgb="FFD6E2F5"/>
        <rFont val="Noto Sans CJK SC"/>
        <charset val="134"/>
      </rPr>
      <t xml:space="preserve">白班 </t>
    </r>
    <r>
      <rPr>
        <sz val="10"/>
        <color rgb="FFD6E2F5"/>
        <rFont val="微软雅黑"/>
        <charset val="1"/>
      </rPr>
      <t>08:00-20:00</t>
    </r>
    <r>
      <rPr>
        <sz val="10"/>
        <color rgb="FFD6E2F5"/>
        <rFont val="Noto Sans CJK SC"/>
        <charset val="134"/>
      </rPr>
      <t>　</t>
    </r>
    <r>
      <rPr>
        <sz val="10"/>
        <color rgb="FFD6E2F5"/>
        <rFont val="微软雅黑"/>
        <charset val="1"/>
      </rPr>
      <t>|</t>
    </r>
    <r>
      <rPr>
        <sz val="10"/>
        <color rgb="FFD6E2F5"/>
        <rFont val="Noto Sans CJK SC"/>
        <charset val="134"/>
      </rPr>
      <t xml:space="preserve">　数据快照 </t>
    </r>
    <r>
      <rPr>
        <sz val="10"/>
        <color rgb="FFD6E2F5"/>
        <rFont val="微软雅黑"/>
        <charset val="1"/>
      </rPr>
      <t>2026-09-30 13:28</t>
    </r>
    <r>
      <rPr>
        <sz val="10"/>
        <color rgb="FFD6E2F5"/>
        <rFont val="Noto Sans CJK SC"/>
        <charset val="134"/>
      </rPr>
      <t>　</t>
    </r>
    <r>
      <rPr>
        <sz val="10"/>
        <color rgb="FFD6E2F5"/>
        <rFont val="微软雅黑"/>
        <charset val="1"/>
      </rPr>
      <t>|</t>
    </r>
    <r>
      <rPr>
        <sz val="10"/>
        <color rgb="FFD6E2F5"/>
        <rFont val="Noto Sans CJK SC"/>
        <charset val="134"/>
      </rPr>
      <t>　设备状态、模具寿命、生产产品与停机分析联动更新</t>
    </r>
  </si>
  <si>
    <t>设备开机率</t>
  </si>
  <si>
    <r>
      <rPr>
        <sz val="10"/>
        <color rgb="FF44546A"/>
        <rFont val="Noto Sans CJK SC"/>
        <charset val="134"/>
      </rPr>
      <t xml:space="preserve">平均 </t>
    </r>
    <r>
      <rPr>
        <sz val="10"/>
        <color rgb="FF44546A"/>
        <rFont val="微软雅黑"/>
        <charset val="1"/>
      </rPr>
      <t>OEE</t>
    </r>
  </si>
  <si>
    <r>
      <rPr>
        <sz val="10"/>
        <color rgb="FF44546A"/>
        <rFont val="Noto Sans CJK SC"/>
        <charset val="134"/>
      </rPr>
      <t>当班总产量</t>
    </r>
    <r>
      <rPr>
        <sz val="10"/>
        <color rgb="FF44546A"/>
        <rFont val="微软雅黑"/>
        <charset val="1"/>
      </rPr>
      <t>(</t>
    </r>
    <r>
      <rPr>
        <sz val="10"/>
        <color rgb="FF44546A"/>
        <rFont val="Noto Sans CJK SC"/>
        <charset val="134"/>
      </rPr>
      <t>件</t>
    </r>
    <r>
      <rPr>
        <sz val="10"/>
        <color rgb="FF44546A"/>
        <rFont val="微软雅黑"/>
        <charset val="1"/>
      </rPr>
      <t>)</t>
    </r>
  </si>
  <si>
    <r>
      <rPr>
        <sz val="10"/>
        <color rgb="FF44546A"/>
        <rFont val="Noto Sans CJK SC"/>
        <charset val="134"/>
      </rPr>
      <t>在用模具</t>
    </r>
    <r>
      <rPr>
        <sz val="10"/>
        <color rgb="FF44546A"/>
        <rFont val="微软雅黑"/>
        <charset val="1"/>
      </rPr>
      <t>(</t>
    </r>
    <r>
      <rPr>
        <sz val="10"/>
        <color rgb="FF44546A"/>
        <rFont val="Noto Sans CJK SC"/>
        <charset val="134"/>
      </rPr>
      <t>套</t>
    </r>
    <r>
      <rPr>
        <sz val="10"/>
        <color rgb="FF44546A"/>
        <rFont val="微软雅黑"/>
        <charset val="1"/>
      </rPr>
      <t>)</t>
    </r>
  </si>
  <si>
    <r>
      <rPr>
        <sz val="10"/>
        <color rgb="FF44546A"/>
        <rFont val="Noto Sans CJK SC"/>
        <charset val="134"/>
      </rPr>
      <t>模具寿命预警</t>
    </r>
    <r>
      <rPr>
        <sz val="10"/>
        <color rgb="FF44546A"/>
        <rFont val="微软雅黑"/>
        <charset val="1"/>
      </rPr>
      <t>(</t>
    </r>
    <r>
      <rPr>
        <sz val="10"/>
        <color rgb="FF44546A"/>
        <rFont val="Noto Sans CJK SC"/>
        <charset val="134"/>
      </rPr>
      <t>套</t>
    </r>
    <r>
      <rPr>
        <sz val="10"/>
        <color rgb="FF44546A"/>
        <rFont val="微软雅黑"/>
        <charset val="1"/>
      </rPr>
      <t>)</t>
    </r>
  </si>
  <si>
    <r>
      <rPr>
        <sz val="10"/>
        <color rgb="FF44546A"/>
        <rFont val="Noto Sans CJK SC"/>
        <charset val="134"/>
      </rPr>
      <t>累计停机</t>
    </r>
    <r>
      <rPr>
        <sz val="10"/>
        <color rgb="FF44546A"/>
        <rFont val="微软雅黑"/>
        <charset val="1"/>
      </rPr>
      <t>(min)</t>
    </r>
  </si>
  <si>
    <t>车间生产概览</t>
  </si>
  <si>
    <t>车间</t>
  </si>
  <si>
    <t>设备数</t>
  </si>
  <si>
    <t>运行</t>
  </si>
  <si>
    <t>故障停机</t>
  </si>
  <si>
    <t>开机率</t>
  </si>
  <si>
    <r>
      <rPr>
        <b/>
        <sz val="10"/>
        <color rgb="FFFFFFFF"/>
        <rFont val="Noto Sans CJK SC"/>
        <charset val="134"/>
      </rPr>
      <t>当班产量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)</t>
    </r>
  </si>
  <si>
    <t>达成率</t>
  </si>
  <si>
    <t>合计</t>
  </si>
  <si>
    <t>序号</t>
  </si>
  <si>
    <t>班次</t>
  </si>
  <si>
    <t>设备编号</t>
  </si>
  <si>
    <t>设备名称</t>
  </si>
  <si>
    <t>所属车间</t>
  </si>
  <si>
    <t>生产产品</t>
  </si>
  <si>
    <t>配对模具</t>
  </si>
  <si>
    <r>
      <rPr>
        <b/>
        <sz val="10"/>
        <color rgb="FFFFFFFF"/>
        <rFont val="Noto Sans CJK SC"/>
        <charset val="134"/>
      </rPr>
      <t>计划产量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)</t>
    </r>
  </si>
  <si>
    <r>
      <rPr>
        <b/>
        <sz val="10"/>
        <color rgb="FFFFFFFF"/>
        <rFont val="Noto Sans CJK SC"/>
        <charset val="134"/>
      </rPr>
      <t>不良数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)</t>
    </r>
  </si>
  <si>
    <t>良品率</t>
  </si>
  <si>
    <t>备注</t>
  </si>
  <si>
    <t>白班</t>
  </si>
  <si>
    <t>SB-101</t>
  </si>
  <si>
    <t>M-PK400-A</t>
  </si>
  <si>
    <t>SB-102</t>
  </si>
  <si>
    <t>M-YL250-B</t>
  </si>
  <si>
    <t>SB-103</t>
  </si>
  <si>
    <t>M-FL160-C</t>
  </si>
  <si>
    <r>
      <rPr>
        <sz val="10"/>
        <rFont val="Noto Sans CJK SC"/>
        <charset val="134"/>
      </rPr>
      <t xml:space="preserve">白班换模调机 </t>
    </r>
    <r>
      <rPr>
        <sz val="10"/>
        <rFont val="微软雅黑"/>
        <charset val="1"/>
      </rPr>
      <t>300min</t>
    </r>
  </si>
  <si>
    <t>SB-104</t>
  </si>
  <si>
    <t>M-PK200-D</t>
  </si>
  <si>
    <t>液压系统维修中，待备件</t>
  </si>
  <si>
    <t>SB-105</t>
  </si>
  <si>
    <t>M-YL315-E</t>
  </si>
  <si>
    <t>SB-201</t>
  </si>
  <si>
    <t>M-FL125-G</t>
  </si>
  <si>
    <t>SB-202</t>
  </si>
  <si>
    <t>M-MF110-H</t>
  </si>
  <si>
    <t>SB-203</t>
  </si>
  <si>
    <t>M-DG080-I</t>
  </si>
  <si>
    <t>季度计划保养，夜班恢复</t>
  </si>
  <si>
    <t>SB-204</t>
  </si>
  <si>
    <t>M-FL160-J</t>
  </si>
  <si>
    <t>SB-205</t>
  </si>
  <si>
    <t>M-MF250-K</t>
  </si>
  <si>
    <r>
      <rPr>
        <sz val="10"/>
        <rFont val="Noto Sans CJK SC"/>
        <charset val="134"/>
      </rPr>
      <t>待料</t>
    </r>
    <r>
      <rPr>
        <sz val="10"/>
        <rFont val="微软雅黑"/>
        <charset val="1"/>
      </rPr>
      <t>+</t>
    </r>
    <r>
      <rPr>
        <sz val="10"/>
        <rFont val="Noto Sans CJK SC"/>
        <charset val="134"/>
      </rPr>
      <t>换模，产出偏低</t>
    </r>
  </si>
  <si>
    <t>SB-301</t>
  </si>
  <si>
    <t>M-PT355-M</t>
  </si>
  <si>
    <t>SB-302</t>
  </si>
  <si>
    <t>M-PT220-N</t>
  </si>
  <si>
    <t>SB-303</t>
  </si>
  <si>
    <t>M-FL140-O</t>
  </si>
  <si>
    <t>SB-304</t>
  </si>
  <si>
    <t>M-ZJ063-P</t>
  </si>
  <si>
    <t>SB-305</t>
  </si>
  <si>
    <t>M-PT200-Q</t>
  </si>
  <si>
    <t>电机维修中，预计夜班恢复</t>
  </si>
  <si>
    <t>YL-B-035</t>
  </si>
  <si>
    <t>M-GD50-200</t>
  </si>
  <si>
    <t>设备类型</t>
  </si>
  <si>
    <r>
      <rPr>
        <b/>
        <sz val="10"/>
        <color rgb="FFFFFFFF"/>
        <rFont val="Noto Sans CJK SC"/>
        <charset val="134"/>
      </rPr>
      <t>吨位</t>
    </r>
    <r>
      <rPr>
        <b/>
        <sz val="10"/>
        <color rgb="FFFFFFFF"/>
        <rFont val="微软雅黑"/>
        <charset val="1"/>
      </rPr>
      <t>(t)</t>
    </r>
  </si>
  <si>
    <t>设备状态</t>
  </si>
  <si>
    <r>
      <rPr>
        <b/>
        <sz val="10"/>
        <color rgb="FFFFFFFF"/>
        <rFont val="Noto Sans CJK SC"/>
        <charset val="134"/>
      </rPr>
      <t>当班运行</t>
    </r>
    <r>
      <rPr>
        <b/>
        <sz val="10"/>
        <color rgb="FFFFFFFF"/>
        <rFont val="微软雅黑"/>
        <charset val="1"/>
      </rPr>
      <t>(min)</t>
    </r>
  </si>
  <si>
    <r>
      <rPr>
        <b/>
        <sz val="10"/>
        <color rgb="FFFFFFFF"/>
        <rFont val="Noto Sans CJK SC"/>
        <charset val="134"/>
      </rPr>
      <t>当班停机</t>
    </r>
    <r>
      <rPr>
        <b/>
        <sz val="10"/>
        <color rgb="FFFFFFFF"/>
        <rFont val="微软雅黑"/>
        <charset val="1"/>
      </rPr>
      <t>(min)</t>
    </r>
  </si>
  <si>
    <r>
      <rPr>
        <b/>
        <sz val="10"/>
        <color rgb="FFFFFFFF"/>
        <rFont val="Noto Sans CJK SC"/>
        <charset val="134"/>
      </rPr>
      <t>节拍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/min)</t>
    </r>
  </si>
  <si>
    <t>时间稼动率</t>
  </si>
  <si>
    <t>性能稼动率</t>
  </si>
  <si>
    <t>OEE</t>
  </si>
  <si>
    <t>责任人</t>
  </si>
  <si>
    <r>
      <rPr>
        <sz val="10"/>
        <rFont val="微软雅黑"/>
        <charset val="1"/>
      </rPr>
      <t xml:space="preserve">400T </t>
    </r>
    <r>
      <rPr>
        <sz val="10"/>
        <rFont val="Noto Sans CJK SC"/>
        <charset val="134"/>
      </rPr>
      <t>闭式双点压力机</t>
    </r>
  </si>
  <si>
    <t>一号冲压车间</t>
  </si>
  <si>
    <t>机械压力机</t>
  </si>
  <si>
    <t>张建国</t>
  </si>
  <si>
    <r>
      <rPr>
        <sz val="10"/>
        <rFont val="微软雅黑"/>
        <charset val="1"/>
      </rPr>
      <t xml:space="preserve">250T </t>
    </r>
    <r>
      <rPr>
        <sz val="10"/>
        <rFont val="Noto Sans CJK SC"/>
        <charset val="134"/>
      </rPr>
      <t>开式压力机</t>
    </r>
  </si>
  <si>
    <t>李海峰</t>
  </si>
  <si>
    <r>
      <rPr>
        <sz val="10"/>
        <rFont val="微软雅黑"/>
        <charset val="1"/>
      </rPr>
      <t xml:space="preserve">160T </t>
    </r>
    <r>
      <rPr>
        <sz val="10"/>
        <rFont val="Noto Sans CJK SC"/>
        <charset val="134"/>
      </rPr>
      <t>开式压力机</t>
    </r>
  </si>
  <si>
    <t>调模</t>
  </si>
  <si>
    <t>王振宇</t>
  </si>
  <si>
    <r>
      <rPr>
        <sz val="10"/>
        <rFont val="微软雅黑"/>
        <charset val="1"/>
      </rPr>
      <t xml:space="preserve">200T </t>
    </r>
    <r>
      <rPr>
        <sz val="10"/>
        <rFont val="Noto Sans CJK SC"/>
        <charset val="134"/>
      </rPr>
      <t>液压冲床</t>
    </r>
  </si>
  <si>
    <t>液压机</t>
  </si>
  <si>
    <t>赵明辉</t>
  </si>
  <si>
    <r>
      <rPr>
        <sz val="10"/>
        <rFont val="微软雅黑"/>
        <charset val="1"/>
      </rPr>
      <t xml:space="preserve">315T </t>
    </r>
    <r>
      <rPr>
        <sz val="10"/>
        <rFont val="Noto Sans CJK SC"/>
        <charset val="134"/>
      </rPr>
      <t>精冲压力机</t>
    </r>
  </si>
  <si>
    <t>精冲机</t>
  </si>
  <si>
    <t>陈立新</t>
  </si>
  <si>
    <r>
      <rPr>
        <sz val="10"/>
        <rFont val="微软雅黑"/>
        <charset val="1"/>
      </rPr>
      <t xml:space="preserve">125T </t>
    </r>
    <r>
      <rPr>
        <sz val="10"/>
        <rFont val="Noto Sans CJK SC"/>
        <charset val="134"/>
      </rPr>
      <t>高速冲床</t>
    </r>
  </si>
  <si>
    <t>二号冲压车间</t>
  </si>
  <si>
    <t>高速冲床</t>
  </si>
  <si>
    <t>刘志强</t>
  </si>
  <si>
    <r>
      <rPr>
        <sz val="10"/>
        <rFont val="微软雅黑"/>
        <charset val="1"/>
      </rPr>
      <t xml:space="preserve">110T </t>
    </r>
    <r>
      <rPr>
        <sz val="10"/>
        <rFont val="微软雅黑"/>
        <charset val="134"/>
      </rPr>
      <t>高速冲床</t>
    </r>
  </si>
  <si>
    <t>孙浩然</t>
  </si>
  <si>
    <r>
      <rPr>
        <sz val="10"/>
        <rFont val="微软雅黑"/>
        <charset val="1"/>
      </rPr>
      <t xml:space="preserve">80T </t>
    </r>
    <r>
      <rPr>
        <sz val="10"/>
        <rFont val="微软雅黑"/>
        <charset val="134"/>
      </rPr>
      <t>开式压力机</t>
    </r>
  </si>
  <si>
    <t>计划保养</t>
  </si>
  <si>
    <t>周建军</t>
  </si>
  <si>
    <r>
      <rPr>
        <sz val="10"/>
        <rFont val="微软雅黑"/>
        <charset val="1"/>
      </rPr>
      <t xml:space="preserve">160T </t>
    </r>
    <r>
      <rPr>
        <sz val="10"/>
        <rFont val="微软雅黑"/>
        <charset val="134"/>
      </rPr>
      <t>开式压力机</t>
    </r>
  </si>
  <si>
    <t>吴俊杰</t>
  </si>
  <si>
    <r>
      <rPr>
        <sz val="10"/>
        <rFont val="微软雅黑"/>
        <charset val="1"/>
      </rPr>
      <t xml:space="preserve">250T </t>
    </r>
    <r>
      <rPr>
        <sz val="10"/>
        <rFont val="微软雅黑"/>
        <charset val="134"/>
      </rPr>
      <t>液压冲床</t>
    </r>
  </si>
  <si>
    <t>待机</t>
  </si>
  <si>
    <t>郑伟东</t>
  </si>
  <si>
    <r>
      <rPr>
        <sz val="10"/>
        <rFont val="微软雅黑"/>
        <charset val="1"/>
      </rPr>
      <t xml:space="preserve">355T </t>
    </r>
    <r>
      <rPr>
        <sz val="10"/>
        <rFont val="微软雅黑"/>
        <charset val="134"/>
      </rPr>
      <t>闭式压力机</t>
    </r>
  </si>
  <si>
    <t>三号焊接车间</t>
  </si>
  <si>
    <t>冯国栋</t>
  </si>
  <si>
    <r>
      <rPr>
        <sz val="10"/>
        <rFont val="微软雅黑"/>
        <charset val="1"/>
      </rPr>
      <t xml:space="preserve">220T </t>
    </r>
    <r>
      <rPr>
        <sz val="10"/>
        <rFont val="微软雅黑"/>
        <charset val="134"/>
      </rPr>
      <t>闭式压力机</t>
    </r>
  </si>
  <si>
    <t>许文博</t>
  </si>
  <si>
    <r>
      <rPr>
        <sz val="10"/>
        <rFont val="微软雅黑"/>
        <charset val="1"/>
      </rPr>
      <t xml:space="preserve">140T </t>
    </r>
    <r>
      <rPr>
        <sz val="10"/>
        <rFont val="微软雅黑"/>
        <charset val="134"/>
      </rPr>
      <t>开式压力机</t>
    </r>
  </si>
  <si>
    <t>何少军</t>
  </si>
  <si>
    <r>
      <rPr>
        <sz val="10"/>
        <rFont val="微软雅黑"/>
        <charset val="1"/>
      </rPr>
      <t xml:space="preserve">63T </t>
    </r>
    <r>
      <rPr>
        <sz val="10"/>
        <rFont val="微软雅黑"/>
        <charset val="134"/>
      </rPr>
      <t>开式压力机</t>
    </r>
  </si>
  <si>
    <t>曾建平</t>
  </si>
  <si>
    <r>
      <rPr>
        <sz val="10"/>
        <rFont val="微软雅黑"/>
        <charset val="1"/>
      </rPr>
      <t xml:space="preserve">200T </t>
    </r>
    <r>
      <rPr>
        <sz val="10"/>
        <rFont val="微软雅黑"/>
        <charset val="134"/>
      </rPr>
      <t>折弯冲床</t>
    </r>
  </si>
  <si>
    <t>邓伟民</t>
  </si>
  <si>
    <t>J23-100T压力机</t>
  </si>
  <si>
    <t>甲乙丙</t>
  </si>
  <si>
    <t>模具编号</t>
  </si>
  <si>
    <t>模具名称</t>
  </si>
  <si>
    <t>配对设备</t>
  </si>
  <si>
    <t>模具状态</t>
  </si>
  <si>
    <t>已冲次数</t>
  </si>
  <si>
    <t>寿命上限</t>
  </si>
  <si>
    <t>寿命占用</t>
  </si>
  <si>
    <r>
      <rPr>
        <b/>
        <sz val="10"/>
        <color rgb="FFFFFFFF"/>
        <rFont val="Noto Sans CJK SC"/>
        <charset val="134"/>
      </rPr>
      <t>剩余可用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次</t>
    </r>
    <r>
      <rPr>
        <b/>
        <sz val="10"/>
        <color rgb="FFFFFFFF"/>
        <rFont val="微软雅黑"/>
        <charset val="1"/>
      </rPr>
      <t>)</t>
    </r>
  </si>
  <si>
    <t>上次研磨日期</t>
  </si>
  <si>
    <t>安装日期</t>
  </si>
  <si>
    <t>状态判定</t>
  </si>
  <si>
    <t>MJ-101</t>
  </si>
  <si>
    <t>泵壳成型模</t>
  </si>
  <si>
    <r>
      <rPr>
        <sz val="10"/>
        <rFont val="微软雅黑"/>
        <charset val="1"/>
      </rPr>
      <t xml:space="preserve">PK-400 </t>
    </r>
    <r>
      <rPr>
        <sz val="10"/>
        <rFont val="Noto Sans CJK SC"/>
        <charset val="134"/>
      </rPr>
      <t>泵壳</t>
    </r>
  </si>
  <si>
    <t>在用</t>
  </si>
  <si>
    <t>MJ-102</t>
  </si>
  <si>
    <t>叶轮落料模</t>
  </si>
  <si>
    <r>
      <rPr>
        <sz val="10"/>
        <rFont val="微软雅黑"/>
        <charset val="1"/>
      </rPr>
      <t xml:space="preserve">YL-250 </t>
    </r>
    <r>
      <rPr>
        <sz val="10"/>
        <rFont val="Noto Sans CJK SC"/>
        <charset val="134"/>
      </rPr>
      <t>叶轮</t>
    </r>
  </si>
  <si>
    <t>MJ-103</t>
  </si>
  <si>
    <t>法兰成型模</t>
  </si>
  <si>
    <r>
      <rPr>
        <sz val="10"/>
        <rFont val="微软雅黑"/>
        <charset val="1"/>
      </rPr>
      <t xml:space="preserve">FL-150 </t>
    </r>
    <r>
      <rPr>
        <sz val="10"/>
        <rFont val="Noto Sans CJK SC"/>
        <charset val="134"/>
      </rPr>
      <t>法兰</t>
    </r>
  </si>
  <si>
    <t>MJ-104</t>
  </si>
  <si>
    <t>泵壳拉伸模</t>
  </si>
  <si>
    <t>MJ-105</t>
  </si>
  <si>
    <t>叶轮冲孔模</t>
  </si>
  <si>
    <t>MJ-106</t>
  </si>
  <si>
    <t>泵壳切边模</t>
  </si>
  <si>
    <t>待用</t>
  </si>
  <si>
    <t>MJ-201</t>
  </si>
  <si>
    <t>法兰冲孔模</t>
  </si>
  <si>
    <t>MJ-202</t>
  </si>
  <si>
    <t>密封盖成型模</t>
  </si>
  <si>
    <r>
      <rPr>
        <sz val="10"/>
        <rFont val="微软雅黑"/>
        <charset val="1"/>
      </rPr>
      <t xml:space="preserve">MF-100 </t>
    </r>
    <r>
      <rPr>
        <sz val="10"/>
        <rFont val="Noto Sans CJK SC"/>
        <charset val="134"/>
      </rPr>
      <t>密封盖</t>
    </r>
  </si>
  <si>
    <t>MJ-203</t>
  </si>
  <si>
    <t>端盖落料模</t>
  </si>
  <si>
    <r>
      <rPr>
        <sz val="10"/>
        <rFont val="微软雅黑"/>
        <charset val="1"/>
      </rPr>
      <t xml:space="preserve">DG-200 </t>
    </r>
    <r>
      <rPr>
        <sz val="10"/>
        <rFont val="Noto Sans CJK SC"/>
        <charset val="134"/>
      </rPr>
      <t>端盖</t>
    </r>
  </si>
  <si>
    <t>MJ-204</t>
  </si>
  <si>
    <t>法兰折弯模</t>
  </si>
  <si>
    <t>MJ-205</t>
  </si>
  <si>
    <t>密封盖拉深模</t>
  </si>
  <si>
    <t>研磨中</t>
  </si>
  <si>
    <t>MJ-206</t>
  </si>
  <si>
    <t>端盖成型模</t>
  </si>
  <si>
    <t>维修复用</t>
  </si>
  <si>
    <t>MJ-301</t>
  </si>
  <si>
    <t>泵体成型模</t>
  </si>
  <si>
    <r>
      <rPr>
        <sz val="10"/>
        <rFont val="微软雅黑"/>
        <charset val="1"/>
      </rPr>
      <t xml:space="preserve">PT-350 </t>
    </r>
    <r>
      <rPr>
        <sz val="10"/>
        <rFont val="Noto Sans CJK SC"/>
        <charset val="134"/>
      </rPr>
      <t>泵体</t>
    </r>
  </si>
  <si>
    <t>MJ-302</t>
  </si>
  <si>
    <t>泵体冲孔模</t>
  </si>
  <si>
    <t>MJ-303</t>
  </si>
  <si>
    <t>法兰切边模</t>
  </si>
  <si>
    <t>MJ-304</t>
  </si>
  <si>
    <t>泵支架成型模</t>
  </si>
  <si>
    <r>
      <rPr>
        <sz val="10"/>
        <rFont val="微软雅黑"/>
        <charset val="1"/>
      </rPr>
      <t xml:space="preserve">ZJ-063 </t>
    </r>
    <r>
      <rPr>
        <sz val="10"/>
        <rFont val="Noto Sans CJK SC"/>
        <charset val="134"/>
      </rPr>
      <t>泵支架</t>
    </r>
  </si>
  <si>
    <t>MJ-305</t>
  </si>
  <si>
    <t>泵体折边模</t>
  </si>
  <si>
    <t>MJ-306</t>
  </si>
  <si>
    <t>泵支架冲孔模</t>
  </si>
  <si>
    <t>已报废</t>
  </si>
  <si>
    <t>MJ-B-035</t>
  </si>
  <si>
    <r>
      <rPr>
        <sz val="11"/>
        <color theme="1"/>
        <rFont val="Calibri"/>
        <charset val="1"/>
      </rPr>
      <t>GD50-200/400</t>
    </r>
    <r>
      <rPr>
        <sz val="11"/>
        <color theme="1"/>
        <rFont val="宋体"/>
        <charset val="1"/>
      </rPr>
      <t>泵壳</t>
    </r>
  </si>
  <si>
    <t>发生时间</t>
  </si>
  <si>
    <t>原因分类</t>
  </si>
  <si>
    <t>停机原因</t>
  </si>
  <si>
    <r>
      <rPr>
        <b/>
        <sz val="10"/>
        <color rgb="FFFFFFFF"/>
        <rFont val="Noto Sans CJK SC"/>
        <charset val="134"/>
      </rPr>
      <t>停机时长</t>
    </r>
    <r>
      <rPr>
        <b/>
        <sz val="10"/>
        <color rgb="FFFFFFFF"/>
        <rFont val="微软雅黑"/>
        <charset val="1"/>
      </rPr>
      <t>(min)</t>
    </r>
  </si>
  <si>
    <r>
      <rPr>
        <b/>
        <sz val="10"/>
        <color rgb="FFFFFFFF"/>
        <rFont val="Noto Sans CJK SC"/>
        <charset val="134"/>
      </rPr>
      <t>影响产量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)</t>
    </r>
  </si>
  <si>
    <t>处理人</t>
  </si>
  <si>
    <t>处理状态</t>
  </si>
  <si>
    <t>设备故障</t>
  </si>
  <si>
    <t>液压系统泄漏</t>
  </si>
  <si>
    <t>维修中</t>
  </si>
  <si>
    <t>电机过热跳闸</t>
  </si>
  <si>
    <t>季度计划保养</t>
  </si>
  <si>
    <t>已闭环</t>
  </si>
  <si>
    <t>待料</t>
  </si>
  <si>
    <t>板料供应延迟</t>
  </si>
  <si>
    <t>换模调机</t>
  </si>
  <si>
    <t>模具安装调试</t>
  </si>
  <si>
    <t>订单排产等待</t>
  </si>
  <si>
    <t>其他</t>
  </si>
  <si>
    <t>安全光栅校验</t>
  </si>
  <si>
    <t>送料机构卡料</t>
  </si>
  <si>
    <t>模具保养后试模</t>
  </si>
  <si>
    <t>废料排放异常</t>
  </si>
  <si>
    <t>气动夹紧压力低</t>
  </si>
  <si>
    <t>润滑系统报警</t>
  </si>
  <si>
    <t>滑块润滑报警</t>
  </si>
  <si>
    <t>气路失压</t>
  </si>
  <si>
    <t>订单暂停待料</t>
  </si>
  <si>
    <t>泵业冲压车间生产汇总（公式自动统计）</t>
  </si>
  <si>
    <r>
      <rPr>
        <b/>
        <sz val="10"/>
        <color rgb="FFFFFFFF"/>
        <rFont val="Noto Sans CJK SC"/>
        <charset val="134"/>
      </rPr>
      <t>平均</t>
    </r>
    <r>
      <rPr>
        <b/>
        <sz val="10"/>
        <color rgb="FFFFFFFF"/>
        <rFont val="微软雅黑"/>
        <charset val="1"/>
      </rPr>
      <t>OEE</t>
    </r>
  </si>
  <si>
    <t>模具状态分布</t>
  </si>
  <si>
    <t>数量</t>
  </si>
  <si>
    <t>占比</t>
  </si>
  <si>
    <t>平均寿命占用</t>
  </si>
  <si>
    <t>寿命预警数</t>
  </si>
  <si>
    <t>停机原因分类汇总（当班）</t>
  </si>
  <si>
    <t>次数</t>
  </si>
  <si>
    <r>
      <rPr>
        <b/>
        <sz val="10"/>
        <color rgb="FFFFFFFF"/>
        <rFont val="Noto Sans CJK SC"/>
        <charset val="134"/>
      </rPr>
      <t>总时长</t>
    </r>
    <r>
      <rPr>
        <b/>
        <sz val="10"/>
        <color rgb="FFFFFFFF"/>
        <rFont val="微软雅黑"/>
        <charset val="1"/>
      </rPr>
      <t>(min)</t>
    </r>
  </si>
  <si>
    <t>时长占比</t>
  </si>
  <si>
    <t>基础配置（修改后全表自动联动）</t>
  </si>
  <si>
    <r>
      <rPr>
        <sz val="10"/>
        <rFont val="Noto Sans CJK SC"/>
        <charset val="134"/>
      </rPr>
      <t>班次计划生产时间</t>
    </r>
    <r>
      <rPr>
        <sz val="10"/>
        <rFont val="微软雅黑"/>
        <charset val="1"/>
      </rPr>
      <t>(min/</t>
    </r>
    <r>
      <rPr>
        <sz val="10"/>
        <rFont val="Noto Sans CJK SC"/>
        <charset val="134"/>
      </rPr>
      <t>班</t>
    </r>
    <r>
      <rPr>
        <sz val="10"/>
        <rFont val="微软雅黑"/>
        <charset val="1"/>
      </rPr>
      <t>)</t>
    </r>
  </si>
  <si>
    <r>
      <rPr>
        <sz val="9"/>
        <color rgb="FF44546A"/>
        <rFont val="Noto Sans CJK SC"/>
        <charset val="134"/>
      </rPr>
      <t xml:space="preserve">← 白班 </t>
    </r>
    <r>
      <rPr>
        <sz val="9"/>
        <color rgb="FF44546A"/>
        <rFont val="微软雅黑"/>
        <charset val="1"/>
      </rPr>
      <t>08:00-20:00</t>
    </r>
  </si>
  <si>
    <t>模具寿命预警阈值</t>
  </si>
  <si>
    <t>← 低于该占用率触发预警</t>
  </si>
  <si>
    <t>停机原因分类</t>
  </si>
  <si>
    <t>产品清单</t>
  </si>
  <si>
    <t>水位挡板封片（北京特龙）TYBJ-241208-01</t>
  </si>
  <si>
    <t>夜班</t>
  </si>
  <si>
    <t>水箱箱体（北京特龙）8FF-0912-SX</t>
  </si>
  <si>
    <t>水箱盖（北京特龙）8FF-0912-SX</t>
  </si>
  <si>
    <t>水位挡板（北京特龙）8FF-0912-SX</t>
  </si>
  <si>
    <t>水箱箱体封板（北京特龙）8FF-0912-SX</t>
  </si>
  <si>
    <t>水箱盖（北京特龙）（禁用）12FF-1603-SX</t>
  </si>
  <si>
    <t>水位挡板（北京特龙）（禁用）12FF-1603-SX</t>
  </si>
  <si>
    <t>水箱前后板（北京特龙）（禁用）12FF-1603-SX</t>
  </si>
  <si>
    <t>水箱箱体底板（北京特龙）12FF-1603-SX</t>
  </si>
  <si>
    <t>水箱盖（北京特龙）12FF-1603-SX</t>
  </si>
  <si>
    <t>水箱前板（北京特龙）12FF-1603-SX</t>
  </si>
  <si>
    <t>水箱后板（北京特龙）12FF-1603-SX</t>
  </si>
  <si>
    <t>水箱前板（北京特龙）3YFS-2604-SX</t>
  </si>
  <si>
    <t>水箱后板（北京特龙）3YFS-2604-SX</t>
  </si>
  <si>
    <t>水箱箱体底板（北京特龙）3YFS-2604-SX</t>
  </si>
  <si>
    <t>泵壳GZA(S)50-32-160</t>
  </si>
  <si>
    <t>泵壳GZA(S)50-32-200</t>
  </si>
  <si>
    <t>泵壳GZA(S)65-50-160</t>
  </si>
  <si>
    <t>泵壳GZA(S)65-40-200</t>
  </si>
  <si>
    <t>泵壳GZA(S)80-65-125</t>
  </si>
  <si>
    <t>泵壳GZA(S)80-50-200</t>
  </si>
  <si>
    <t>泵壳WB50/025 WB50/037</t>
  </si>
  <si>
    <t>泵壳WB70/037</t>
  </si>
  <si>
    <t>泵壳WB70-232</t>
  </si>
  <si>
    <t>泵壳WB2-70/150</t>
  </si>
  <si>
    <t>泵壳SZ037-168</t>
  </si>
  <si>
    <t>泵壳SZ075B-210</t>
  </si>
  <si>
    <t>泵壳DW2-30-168</t>
  </si>
  <si>
    <t>泵壳DW2-40-168</t>
  </si>
  <si>
    <t>泵壳DW4-40-168</t>
  </si>
  <si>
    <t>泵壳WB400-210</t>
  </si>
  <si>
    <t>泵壳BK200-190</t>
  </si>
  <si>
    <t>泵壳BK300-190</t>
  </si>
  <si>
    <t>泵壳WB70-210-P</t>
  </si>
  <si>
    <t>泵壳(316)WB70-210-M</t>
  </si>
  <si>
    <t>泵壳(316)WB70-232-M</t>
  </si>
  <si>
    <t>泵壳(316)GZA(S)50-32-160-M</t>
  </si>
  <si>
    <t>泵壳(316)GZA(S)50-32-200-M</t>
  </si>
  <si>
    <t>泵壳(316)GZA(S)65-50-160-M</t>
  </si>
  <si>
    <t>泵壳(316)GZA(S)65-40-200-M</t>
  </si>
  <si>
    <t>泵壳(316)GZA(S)80-65-125-M</t>
  </si>
  <si>
    <t>泵壳BK120-166</t>
  </si>
  <si>
    <t>泵壳(316)BK120-166-M</t>
  </si>
  <si>
    <t>泵壳(316)BK200-190-M</t>
  </si>
  <si>
    <t>泵壳(316)BK300-190-M</t>
  </si>
  <si>
    <t>泵壳DW(K)2-60/075</t>
  </si>
  <si>
    <t>泵壳DW(K)4-40/075</t>
  </si>
  <si>
    <t>泵壳GD40-207</t>
  </si>
  <si>
    <t>泵壳GD50-207</t>
  </si>
  <si>
    <t>泵壳GZA(S)100-80-160（GZA(S)100-65-200）</t>
  </si>
  <si>
    <t>泵壳GZA(S)100-80-125</t>
  </si>
  <si>
    <t>泵壳(316)GZA(S)100-80-125-M</t>
  </si>
  <si>
    <t>泵壳WQ15-7-1.1D</t>
  </si>
  <si>
    <t>泵壳GZA(S)50-32-125</t>
  </si>
  <si>
    <t>泵壳GZA(S)65-50-125</t>
  </si>
  <si>
    <t>泵壳(316)GZA(S)65-50-125-M</t>
  </si>
  <si>
    <t>泵壳(316)GZA(S)100-80-160-M（GZA(S)100-65-200-M)</t>
  </si>
  <si>
    <t>泵壳DW(D)(4～5)-40-161</t>
  </si>
  <si>
    <t>泵壳DW(D)(4～5)-50-161</t>
  </si>
  <si>
    <t>泵壳DW(D)(1～3)-40-161</t>
  </si>
  <si>
    <t>泵壳DW(D)(1～3)-60-161</t>
  </si>
  <si>
    <t>泵壳DW(D)(1～3)-30-161</t>
  </si>
  <si>
    <t>泵壳DW(D)(4～5)-60-161</t>
  </si>
  <si>
    <t>泵壳（泰国三菱）H01</t>
  </si>
  <si>
    <t>泵壳（泰国三菱）H02</t>
  </si>
  <si>
    <t>泵壳（泰国三菱）H03</t>
  </si>
  <si>
    <t>泵壳（美国柏朗）W-GZ320C(借用GZA(S)50-32-125泵壳，用堵头孔模具加冲侧出口孔）</t>
  </si>
  <si>
    <t>泵壳（美国柏朗）W-GZ321C(借用GZA(S)50-32-160泵壳，用堵头孔模具加冲侧出口孔）</t>
  </si>
  <si>
    <t>泵壳（美国柏朗）W-GZ322C(借用GZA(S)50-32-200泵壳，用堵头孔模具加冲侧出口孔）</t>
  </si>
  <si>
    <t>泵壳（美国柏朗）W-GZ323C(借用GZA(S)65-50-125泵壳，用堵头孔模具加冲侧出口孔）</t>
  </si>
  <si>
    <t>泵壳（美国柏朗）W-GZ324C(借用GZA(S)65-50-160泵壳，用堵头孔模具加冲侧出口孔）</t>
  </si>
  <si>
    <t>泵壳（美国柏朗）W-GZ325C(借用GZA(S)65-40-200泵壳，用堵头孔模具加冲侧出口孔）</t>
  </si>
  <si>
    <t>泵壳（美国柏朗）W-GZ326C/W-GZ327C(借用GZA(S)80-65-125泵壳，用堵头孔模具加冲侧出口孔）</t>
  </si>
  <si>
    <t>泵壳（美国柏朗）W-GZ328C(借用GZA(S)80-50-200泵壳，用堵头孔模具加冲侧出口孔）</t>
  </si>
  <si>
    <t>泵壳（北京特龙）DW(D)(1～3)-60-161-TL（借用DW(D)(1～3)-60-161泵壳加压排水凸台和冲排水孔）</t>
  </si>
  <si>
    <t>泵壳（北京特龙）DW(D)(4～5)-60-161-TL（借用DW(D)(4～5)-60-161泵壳加压排水凸台和冲排水孔）</t>
  </si>
  <si>
    <t>泵壳(1.5mm料厚)(新）DW8-30-220</t>
  </si>
  <si>
    <t>泵壳(1.5mm料厚)(新）DW8-40-220</t>
  </si>
  <si>
    <t>泵壳(1.5mm料厚)(新）DW16-20-220</t>
  </si>
  <si>
    <t>泵壳(1.5mm料厚)(新）DW16-30-220</t>
  </si>
  <si>
    <t>泵壳GZA(S)100-80-200(DIN)</t>
  </si>
  <si>
    <t>泵壳GD65-200/750</t>
  </si>
  <si>
    <t>泵壳GZA(S)100-80-160(DIN)</t>
  </si>
  <si>
    <t>泵壳BB50-156</t>
  </si>
  <si>
    <t>泵壳(316)GZA(S)100-80-160(DIN)-M</t>
  </si>
  <si>
    <t>泵壳(316)GZA(S)100-80-200(DIN)-M</t>
  </si>
  <si>
    <t>泵壳GZA(S)100-80-125A</t>
  </si>
  <si>
    <t>泵壳(316)WB400-210-M</t>
  </si>
  <si>
    <t>泵壳（泰国三菱）（新）H03</t>
  </si>
  <si>
    <t>泵壳GZA(S)65-40-200/11</t>
  </si>
  <si>
    <t>泵壳GZA(S)50-32-200/7.5</t>
  </si>
  <si>
    <t>泵壳GZA(S)80-50-200/18.5</t>
  </si>
  <si>
    <t>泵壳BK1000-228</t>
  </si>
  <si>
    <t>泵壳GD50-200/400</t>
  </si>
  <si>
    <t>泵壳GD65-160/400</t>
  </si>
  <si>
    <t>泵壳(316)SZ075B-210-M</t>
  </si>
  <si>
    <t>变径管φ80变φ65变径管</t>
  </si>
  <si>
    <t>出水管变径管WB50-φ28.4/φ33.5*16</t>
  </si>
  <si>
    <t>出水管变径管（江苏锡德悉）WB400-φ48.9/φ58.5*20-XDX-BT（借用WB400-φ46.3/φ58.5*20.5变径管机加工而成）</t>
  </si>
  <si>
    <t>变径管(焊接）GD50-φ34/φ49.8*29.1</t>
  </si>
  <si>
    <t>变径管长端(冲压）GD50-φ34/φ49.8*22.4</t>
  </si>
  <si>
    <t>变径管短端(冲压）GD50-φ34/φ49.8*6.8</t>
  </si>
  <si>
    <t>进水管变径管GZA(S)100-φ110/φ105*56</t>
  </si>
  <si>
    <t>出水管变径管WB400-φ46.3/φ58.5*20.5</t>
  </si>
  <si>
    <t>进水管变径管(316)GZA(S)100-φ110/φ105*56-M</t>
  </si>
  <si>
    <t>进水管变径管W-GZ-φ70/φ67.7*30</t>
  </si>
  <si>
    <t>进水管变径管W-GZ-φ85/φ66.5*40</t>
  </si>
  <si>
    <t>出水管变径管(316)WB400-φ46.3/φ58.5*20.5-M</t>
  </si>
  <si>
    <t>进水管变径管GZA(S)65-φ85/φ70*45(DIN)</t>
  </si>
  <si>
    <t>进水管(316)GZA(S)50-φ54*30-M（GZA(S)50-32-125/160-M）</t>
  </si>
  <si>
    <t>进水管(316)GZA(S)65-φ70*42-M(GZA(S)65-40-200-M 进水管)</t>
  </si>
  <si>
    <t>进水管GZA(S)50-φ54*30（GZA(S)50-32-125/160）</t>
  </si>
  <si>
    <t>进水管GZA(S)100-φ105*66(GZA(S)100-80-160 GZA(S)100-65-200)</t>
  </si>
  <si>
    <t>进水管变径管GZA(S)80-φ85/φ105*66(DIN)</t>
  </si>
  <si>
    <t>进水管(316)GZA(S)100-80-125-M(变径管)</t>
  </si>
  <si>
    <t>进水管GZA(S)80-65-125(DIN)</t>
  </si>
  <si>
    <t>进水管变径管(316)GZA(S)80-φ85/φ105*66(DIN)-M</t>
  </si>
  <si>
    <t>进水管GZA(S)65-φ70*42(GZA(S)65-40-200)</t>
  </si>
  <si>
    <t>进水管(316)GZA(S)100-φ105*66-M(GZA(S)100-80-160-M GZA(S)100-65-200-M)</t>
  </si>
  <si>
    <t>进水管GZA(S)65-φ70*30(GZA(S)65-50-125/160)</t>
  </si>
  <si>
    <t>进水管GZA(S)80-φ85*42(GZA(S)80-65-125/160 GZA(S)80-50-200)</t>
  </si>
  <si>
    <t>进水管(316)GZA(S)65-φ70*30-M(GZA(S)65-50-125/160-M)</t>
  </si>
  <si>
    <t>进水管(316)GZA(S)50-φ54*20-M（GZA(S)50-32-200-M）</t>
  </si>
  <si>
    <t>进水管GZA(S)65-φ70*54</t>
  </si>
  <si>
    <t>进水管GZA(S)80-φ85*49</t>
  </si>
  <si>
    <t>左弯颈(316)GZA(S)50-32-200-M</t>
  </si>
  <si>
    <t>右弯颈(316)GZA(S)50-32-200-M</t>
  </si>
  <si>
    <t>左弯颈GZA(S)100-80-125</t>
  </si>
  <si>
    <t>右弯颈GZA(S)100-80-125</t>
  </si>
  <si>
    <t>左弯颈GZA(S)100-65-200</t>
  </si>
  <si>
    <t>右弯颈GZA(S)100-65-200</t>
  </si>
  <si>
    <t>左弯颈GZA(S)80-65-160(DIN)</t>
  </si>
  <si>
    <t>右弯颈GZA(S)80-65-160(DIN)</t>
  </si>
  <si>
    <t>右弯颈(316)GZA(S)100-80-125-M</t>
  </si>
  <si>
    <t>左弯颈(316)GZA(S)100-80-125-M</t>
  </si>
  <si>
    <t>左弯颈GZA(S)50-32-160</t>
  </si>
  <si>
    <t>右弯颈GZA(S)50-32-160</t>
  </si>
  <si>
    <t>左弯颈GZA(S)65-50-125</t>
  </si>
  <si>
    <t>右弯颈GZA(S)65-50-125</t>
  </si>
  <si>
    <t>左弯颈GZA(S)50-32-200</t>
  </si>
  <si>
    <t>右弯颈GZA(S)50-32-200</t>
  </si>
  <si>
    <t>左弯颈GZA(S)80-65-125</t>
  </si>
  <si>
    <t>右弯颈GZA(S)80-65-125</t>
  </si>
  <si>
    <t>左弯颈GZA(S)80-65-160</t>
  </si>
  <si>
    <t>右弯颈GZA(S)80-65-160</t>
  </si>
  <si>
    <t>左弯颈GZA(S)80-50-200</t>
  </si>
  <si>
    <t>右弯颈GZA(S)80-50-200</t>
  </si>
  <si>
    <t>左弯颈GZA(S)65-50-160(DIN)</t>
  </si>
  <si>
    <t>右弯颈GZA(S)65-50-160(DIN)</t>
  </si>
  <si>
    <t>左弯颈GZA(S)65-50-125(DIN)</t>
  </si>
  <si>
    <t>右弯颈GZA(S)65-50-125(DIN)</t>
  </si>
  <si>
    <t>左弯颈GZA(S)65-40-160(DIN)</t>
  </si>
  <si>
    <t>右弯颈GZA(S)65-40-160(DIN)</t>
  </si>
  <si>
    <t>左弯颈GZA(S)65-40-125(DIN)</t>
  </si>
  <si>
    <t>右弯颈GZA(S)65-40-125(DIN)</t>
  </si>
  <si>
    <t>左弯颈GZA(S)65-40-200</t>
  </si>
  <si>
    <t>右弯颈GZA(S)65-40-200</t>
  </si>
  <si>
    <t>左弯颈(316)GZA(S)100-65-200-M GZA(S)80-65-200(DIN)-M</t>
  </si>
  <si>
    <t>右弯颈(316)GZA(S)100-65-200-M GZA(S)80-65-200(DIN)-M</t>
  </si>
  <si>
    <t>左弯颈(316)GZA(S)100-80-160-M</t>
  </si>
  <si>
    <t>右弯颈(316)GZA(S)100-80-160-M</t>
  </si>
  <si>
    <t>左弯颈(316)GZA(S)50-32-160-M</t>
  </si>
  <si>
    <t>右弯颈(316)GZA(S)50-32-160-M</t>
  </si>
  <si>
    <t>左弯颈(316)GZA(S)65-50-125(DIN)-M</t>
  </si>
  <si>
    <t>右弯颈(316)GZA(S)65-50-125(DIN)-M</t>
  </si>
  <si>
    <t>左弯颈GZA(S)100-80-200(DIN)</t>
  </si>
  <si>
    <t>右弯颈GZA(S)100-80-200(DIN)</t>
  </si>
  <si>
    <t>左弯颈GZA(S)100-80-160(DIN)</t>
  </si>
  <si>
    <t>右弯颈GZA(S)100-80-160(DIN)</t>
  </si>
  <si>
    <t>左弯颈(316)GZA(S)100-80-160(DIN)-M</t>
  </si>
  <si>
    <t>右弯颈(316)GZA(S)100-80-160(DIN)-M</t>
  </si>
  <si>
    <t>左弯颈(316)GZA(S)100-80-200(DIN)-M</t>
  </si>
  <si>
    <t>右弯颈(316)GZA(S)100-80-200(DIN)-M</t>
  </si>
  <si>
    <t>左弯颈GZA(S)80-65-125A(DIN)</t>
  </si>
  <si>
    <t>右弯颈GZA(S)80-65-125A(DIN)</t>
  </si>
  <si>
    <t>左弯颈GZA(S)65-40-200/11</t>
  </si>
  <si>
    <t>右弯颈GZA(S)65-40-200/11</t>
  </si>
  <si>
    <t>左弯颈GZA(S)80-50-200/18.5</t>
  </si>
  <si>
    <t>右弯颈GZA(S)80-50-200/18.5</t>
  </si>
  <si>
    <t>左弯颈GZA(S)50-32-200/7.5</t>
  </si>
  <si>
    <t>右弯颈GZA(S)50-32-200/7.5</t>
  </si>
  <si>
    <t>上弯颈GD50-200/400</t>
  </si>
  <si>
    <t>下弯颈GD50-200/400</t>
  </si>
  <si>
    <t>筋板GZA(S)50-32-160(H=42.5)</t>
  </si>
  <si>
    <t>筋板GZA(S)50-32-200(H=32)</t>
  </si>
  <si>
    <t>筋板GZA(S)65-40-200 (H=51.8)</t>
  </si>
  <si>
    <t>筋板GZA(S)100-80-160</t>
  </si>
  <si>
    <t>筋板GZA(S)100-80-125</t>
  </si>
  <si>
    <t>筋板GZA(S)80-65-160/200(DIN)</t>
  </si>
  <si>
    <t>筋板GZA(S)80-65-125(DIN)</t>
  </si>
  <si>
    <t>筋板WQ15-7-1.1D</t>
  </si>
  <si>
    <t>筋板GZA(S)65-50-160 GZA(S)65-40-160(DIN)(H=36.3)</t>
  </si>
  <si>
    <t>筋板GZA(S)80-65-160/125 GZA(S)80-50-200 GZA(S)65-50-125/160/200(DIN)</t>
  </si>
  <si>
    <t>筋板GZA(S)100-80-200(DIN)</t>
  </si>
  <si>
    <t>筋板GZA(S)100-80-160(DIN)</t>
  </si>
  <si>
    <t>筋板GZA(S)65-40-200/11</t>
  </si>
  <si>
    <t>筋板GZA(S)80-50-200/18.5</t>
  </si>
  <si>
    <t>筋板GZA(S)50-32-200/7.5</t>
  </si>
  <si>
    <t>左筋板GD50-200/400</t>
  </si>
  <si>
    <t>右筋板GD50-200/400</t>
  </si>
  <si>
    <t>支脚(冲压)GD40</t>
  </si>
  <si>
    <t>支脚(黑RAL9005电泳)GD40</t>
  </si>
  <si>
    <t>前支脚GZA(S)100-80-125</t>
  </si>
  <si>
    <t>后支脚GZA(S)100-80-160</t>
  </si>
  <si>
    <t>后支脚GZA(S)100-80-125 GZA(S)80-65-125(DIN)</t>
  </si>
  <si>
    <t>后支脚GZA(S)100-65-200 GZA(S)80-65-200(DIN)</t>
  </si>
  <si>
    <t>前支脚GZA(S)50-32-125</t>
  </si>
  <si>
    <t>后支脚GZA(S)50-32-125 GZA(S)65-50-125</t>
  </si>
  <si>
    <t>前支脚GZA(S)50-32-160 GZA(S)65-50-160</t>
  </si>
  <si>
    <t>后支脚GZA(S)50-32-160 GZA(S)65-50-160</t>
  </si>
  <si>
    <t>后支脚GZA(S)50-32-200</t>
  </si>
  <si>
    <t>前支脚GZA(S)50-32-200</t>
  </si>
  <si>
    <t>前支脚GZA(S)65-50-125</t>
  </si>
  <si>
    <t>后支脚GZA(S)65-40-200 GZA(S)80-50-200 GZA(S)65-50-200(DIN)</t>
  </si>
  <si>
    <t>后支脚GZA(S)80-65-125</t>
  </si>
  <si>
    <t>前支脚GZA(S)80-65-160</t>
  </si>
  <si>
    <t>后支脚GZA(S)80-65-160</t>
  </si>
  <si>
    <t>英式支脚GZA(S)50-32-125-G</t>
  </si>
  <si>
    <t>英式支脚GZA(S)50-32-200-G</t>
  </si>
  <si>
    <t>前支脚W-GZ326(借用GZA(S)80-65-125前支脚激光切割）</t>
  </si>
  <si>
    <t>前支脚（长椭圆孔）GZA(S)65-40-200</t>
  </si>
  <si>
    <t>前支脚W-GZ327(借用GZA(S)80-65-160前支脚激光切割）</t>
  </si>
  <si>
    <t>前支脚W-GZ320(借用GZA(S)50-32-125前支脚激光切割）</t>
  </si>
  <si>
    <t>英式支脚(杭州涓涌)GZA(S)65-50-160-G-JY（借用GZA(S)50-32-160/2.2-G英式支脚激光切割）</t>
  </si>
  <si>
    <t>前支脚（配8孔DN80法兰）GZA(S)80-65-160-PN25</t>
  </si>
  <si>
    <t>前支脚GZA(S)100-80-200(DIN)</t>
  </si>
  <si>
    <t>后支脚GZA(S)100-80-200(DIN)</t>
  </si>
  <si>
    <t>前支脚GZA(S)100-80-160(DIN)</t>
  </si>
  <si>
    <t>后支脚GZA(S)100-80-160(DIN)</t>
  </si>
  <si>
    <t>后支脚GZA(S)65-40-200/11</t>
  </si>
  <si>
    <t>后支脚GZA(S)50-32-200/7.5</t>
  </si>
  <si>
    <t>支脚(冲压)GD65-160/400</t>
  </si>
  <si>
    <t>支脚(冲压)GD65-200/750</t>
  </si>
  <si>
    <t>前支脚(利欧)GZA(S)80-65-200/7.5-6-LEO</t>
  </si>
  <si>
    <t>导流筒进水管支架DW2</t>
  </si>
  <si>
    <t>后支架GZA(S)100-80-160</t>
  </si>
  <si>
    <t>后支架GZA(S)100-80-125</t>
  </si>
  <si>
    <t>后支架GZA(S)100-65-200 GZA(S)80-65-200(DIN)</t>
  </si>
  <si>
    <t>后支架GZA(S)80-65-125(DIN)</t>
  </si>
  <si>
    <t>后支架GZA(S)50-32-125/65-50-125</t>
  </si>
  <si>
    <t>后支架GZA(S)50-32-200</t>
  </si>
  <si>
    <t>后支架GZA(S)50-32-160/65-50-160 GZA(S)65-40-125/160(DIN)</t>
  </si>
  <si>
    <t>后支架GZA(S)80-65-160 GZA(S)65-50-160(DIN)</t>
  </si>
  <si>
    <t>后支架GZA(S)80-50-200 GZA(S)65-50-200(DIN)</t>
  </si>
  <si>
    <t>后支架GZA(S)80-65-125 GZA(S)65-50-125(DIN)</t>
  </si>
  <si>
    <t>进/出水管支架GD40-207</t>
  </si>
  <si>
    <t>进/出水管支架GD50-207</t>
  </si>
  <si>
    <t>进水管支架BK200-190</t>
  </si>
  <si>
    <t>进水管支架BK300-190</t>
  </si>
  <si>
    <t>进水管支架BK120-166</t>
  </si>
  <si>
    <t>口环支架WB70/037</t>
  </si>
  <si>
    <t>口环支架WB2-70/150</t>
  </si>
  <si>
    <t>口环支架WB400-210</t>
  </si>
  <si>
    <t>口环支架WB70-232</t>
  </si>
  <si>
    <t>口环支架BK50-168</t>
  </si>
  <si>
    <t>口环支架GZA(S)50-32-125 GZA(S)50-32-160</t>
  </si>
  <si>
    <t>口环支架GZA(S)50-32-200</t>
  </si>
  <si>
    <t>口环支架GZA(S)65-50-125</t>
  </si>
  <si>
    <t>口环支架GZA(S)65-50-160</t>
  </si>
  <si>
    <t>口环支架GZA(S)65-40-200</t>
  </si>
  <si>
    <t>口环支架GZA(S)80-65-125 GZA(S)80-65-160 GZA(S)65-50-125(DIN) GZA(S)65-50-160(DIN)</t>
  </si>
  <si>
    <t>口环支架GZA(S)80-50-200 GZA(S)65-50-200(DIN)</t>
  </si>
  <si>
    <t>口环支架(316)GZA(S)50-32-200-M</t>
  </si>
  <si>
    <t>口环支架(316)GZA(S)50-32-125-M GZA(S)50-32-160-M</t>
  </si>
  <si>
    <t>口环支架(316)GZA(S)65-50-125-M</t>
  </si>
  <si>
    <t>口环支架(316)GZA(S)80-65-125-M GZA(S)80-65-160-M</t>
  </si>
  <si>
    <t>进口管支架(316)GZA(S)100-80-160-M(φ105.2)</t>
  </si>
  <si>
    <t>口环支架(316)GZA(S)80-50-200-M GZA(S)65-50-200-M(DIN)</t>
  </si>
  <si>
    <t>导流筒进水管支架DW8（DW16）</t>
  </si>
  <si>
    <t>前支架GZA(S)100-80-160</t>
  </si>
  <si>
    <t>前支架GZA(S)100-80-125</t>
  </si>
  <si>
    <t>前支架GZA(S)80-65-125(DIN)</t>
  </si>
  <si>
    <t>前支架GZA(S)80-65-160(DIN)</t>
  </si>
  <si>
    <t>前支架GZA(S)50-32-125</t>
  </si>
  <si>
    <t>前支架GZA(S)50-32-200</t>
  </si>
  <si>
    <t>前支架GZA(S)50-32-160</t>
  </si>
  <si>
    <t>前支架GZA(S)65-50-125 GZA(S)65-40-125(DIN)</t>
  </si>
  <si>
    <t>前支架GZA(S)65-50-160 GZA(S)65-40-160(DIN)</t>
  </si>
  <si>
    <t>前支架GZA(S)65-40-200</t>
  </si>
  <si>
    <t>前支架GZA(S)80-65-160</t>
  </si>
  <si>
    <t>前支架GZA(S)80-50-200</t>
  </si>
  <si>
    <t>前支架GZA(S)80-65-125</t>
  </si>
  <si>
    <t>前支架GZA(S)65-50-125(DIN)</t>
  </si>
  <si>
    <t>前支架GZA(S)65-50-160(DIN)</t>
  </si>
  <si>
    <t>前支架GZA(S)65-50-200(DIN)</t>
  </si>
  <si>
    <t>口环支架BB250-166</t>
  </si>
  <si>
    <t>口环支架BB500-190</t>
  </si>
  <si>
    <t>口环支架GZA(S)100-80-200(DIN)</t>
  </si>
  <si>
    <t>前支架GZA(S)100-80-200(DIN)</t>
  </si>
  <si>
    <t>后支架GZA(S)100-80-200(DIN)</t>
  </si>
  <si>
    <t>前支架GZA(S)100-80-160(DIN)</t>
  </si>
  <si>
    <t>后支架GZA(S)100-80-160(DIN)</t>
  </si>
  <si>
    <t>进水管支架BB50-156</t>
  </si>
  <si>
    <t>口环支架WB50A-168</t>
  </si>
  <si>
    <t>口环支架GZA(S)50-32-160A</t>
  </si>
  <si>
    <t>口环支架(316)GZA(S)50-32-160A-M</t>
  </si>
  <si>
    <t>口环支架GZA(S)50-32-200A</t>
  </si>
  <si>
    <t>口环支架(316)GZA(S)50-32-200A-M</t>
  </si>
  <si>
    <t>口环支架(316)GZA(S)100-80-200(DIN)-M</t>
  </si>
  <si>
    <t>口环支架GZA(S)65-40-200A</t>
  </si>
  <si>
    <t>口环支架(316)GZA(S)65-40-200A-M</t>
  </si>
  <si>
    <t>口环支架GZA(S)65-50-160A</t>
  </si>
  <si>
    <t>口环支架(316)GZA(S)65-50-160A-M</t>
  </si>
  <si>
    <t>口环支架(316)WB400-210-M</t>
  </si>
  <si>
    <t>口环支架GZA(S)100-80-125</t>
  </si>
  <si>
    <t>后支架GZA(S)50-32-200/7.5</t>
  </si>
  <si>
    <t>口环支架GZA(S)65-50-125A</t>
  </si>
  <si>
    <t>后支架GZA(S)80-50-200/18.5</t>
  </si>
  <si>
    <t>口环支架GZA(S)80-50-200/18.5</t>
  </si>
  <si>
    <t>进水管支架BK1000-228</t>
  </si>
  <si>
    <t>口环支架GD50-200/400</t>
  </si>
  <si>
    <t>左支架GD50-200/400</t>
  </si>
  <si>
    <t>右支架GD50-200/400</t>
  </si>
  <si>
    <t>口环支架GD65-160/400</t>
  </si>
  <si>
    <t>口环支架GD65-200/750</t>
  </si>
  <si>
    <t>口环支架GD50-160/220</t>
  </si>
  <si>
    <t>泵体隔板GZA(S)65-40-200-S</t>
  </si>
  <si>
    <t>后盖体WB2-70/150</t>
  </si>
  <si>
    <t>后盖DW(D)(1～5)-161-φ15</t>
  </si>
  <si>
    <t>后盖体（316）DW(8～16)-220-φ20A-M</t>
  </si>
  <si>
    <t>后盖SZ037(φ26*φ132*1)</t>
  </si>
  <si>
    <t>后盖DW2/DW4(φ27*φ132*1.2)</t>
  </si>
  <si>
    <t>后盖WB50/037 XL230(φ27*φ120*1.5)</t>
  </si>
  <si>
    <t>后盖WB70-210-φ15 SZ090B SZ075B (φ27*φ165*1.5)</t>
  </si>
  <si>
    <t>后盖WB200/185(φ35*φ165*1.5)</t>
  </si>
  <si>
    <t>后盖WB120-232-φ20</t>
  </si>
  <si>
    <t>后盖GZA(S)50-32-160/2.2</t>
  </si>
  <si>
    <t>后盖BK200-189-φ20</t>
  </si>
  <si>
    <t>后盖GZA(S)50-32-200/4.0</t>
  </si>
  <si>
    <t>后盖ASP120/185(φ31.75*φ187*1.5)</t>
  </si>
  <si>
    <t>后盖WB70-210-P</t>
  </si>
  <si>
    <t>后盖BK120-165-φ15</t>
  </si>
  <si>
    <t>后盖XL231(借用WB70-210-φ15后盖，冲中心孔为φ21.5)</t>
  </si>
  <si>
    <t>后盖GD40</t>
  </si>
  <si>
    <t>后盖ASP2-120(φ31.75*φ184.6*1.5)</t>
  </si>
  <si>
    <t>后盖GZA(S)100-160-φ30</t>
  </si>
  <si>
    <t>后盖DW(K)2-60/075</t>
  </si>
  <si>
    <t>后盖WQ-147-φ18</t>
  </si>
  <si>
    <t>后盖GZA(S)50-32-125/1.1</t>
  </si>
  <si>
    <t>后盖(316)GZA(S)50-32-160/2.2-M</t>
  </si>
  <si>
    <t>后盖(316)GZA(S)50-32-200/4.0-M</t>
  </si>
  <si>
    <t>后盖(316)WB70-232-φ15-M</t>
  </si>
  <si>
    <t>后盖(316)BK120-165-φ15-M</t>
  </si>
  <si>
    <t>后盖(316)BK200-189-φ20-M</t>
  </si>
  <si>
    <t>后盖(316)GZA(S)50-32-125/1.1-M</t>
  </si>
  <si>
    <t>后盖扣环DW8</t>
  </si>
  <si>
    <t>后盖W-GZ125</t>
  </si>
  <si>
    <t>后盖W-GZ160</t>
  </si>
  <si>
    <t>后盖W-GZ200</t>
  </si>
  <si>
    <t>后盖(316)WB200/185-M(φ35*φ165*1.5)</t>
  </si>
  <si>
    <t>后盖DW(D)(8～16)-220-φ20</t>
  </si>
  <si>
    <t>后盖DW(8～16)-220-φ20A</t>
  </si>
  <si>
    <t>后盖(316)DW(8～16)-220-φ20A-M</t>
  </si>
  <si>
    <t>后盖扣环(316)DW8-M</t>
  </si>
  <si>
    <t>后盖BK200-164-φ20</t>
  </si>
  <si>
    <t>后盖(316)BK200-164-φ20-M</t>
  </si>
  <si>
    <t>后盖BK120-143-φ15</t>
  </si>
  <si>
    <t>后盖(316)BK120-143-φ15-M</t>
  </si>
  <si>
    <t>铸铁泵盖(黑RAL9005电泳)DL(H)(8～20）</t>
  </si>
  <si>
    <t>后盖GZA(S)100-160-φ30(DIN)</t>
  </si>
  <si>
    <t>后盖BB50-156-φ12</t>
  </si>
  <si>
    <t>后盖WB50A-168-φ12（借用WB50后盖激光切割静环定位孔）</t>
  </si>
  <si>
    <t>后盖DW(D)(1～5)-161-φ15A</t>
  </si>
  <si>
    <t>后盖(316)GZA(S)100-160-φ30(DIN)-M</t>
  </si>
  <si>
    <t>后盖BK1000-228-φ25</t>
  </si>
  <si>
    <t>后盖固定片WB2-70/150</t>
  </si>
  <si>
    <t>后盖定位固定环DW2 DW4</t>
  </si>
  <si>
    <t>后盖体隔板GZA(S)50-32-160</t>
  </si>
  <si>
    <t>后盖体隔板BK200-164-φ20-SY</t>
  </si>
  <si>
    <t>叶轮前盖板BB300/110(φ55.3*φ132*1.5)</t>
  </si>
  <si>
    <t>叶轮前盖板BB300/150(φ55.3*φ142*1.5)</t>
  </si>
  <si>
    <t>叶轮前盖板DL1-φ30.65-73</t>
  </si>
  <si>
    <t>叶轮前盖板(张浦 2B/RK6.304#)DL2-φ30.65-90</t>
  </si>
  <si>
    <t>叶轮前盖板DL4(φ40*φ95*0.6)</t>
  </si>
  <si>
    <t>叶轮前盖板DL10 DL8 (φ42.6*φ93*0.7)</t>
  </si>
  <si>
    <t>叶轮前盖板DL12(φ42.6*φ102*0.7)</t>
  </si>
  <si>
    <t>叶轮前盖板DL15 DL16φ105</t>
  </si>
  <si>
    <t>叶轮前盖板DL20 φ105</t>
  </si>
  <si>
    <t>叶轮前盖板DL32(φ60.5*φ118*1.0)</t>
  </si>
  <si>
    <t>叶轮前盖板GD40/037</t>
  </si>
  <si>
    <t>叶轮前盖板GD40/075-φ41.5-120</t>
  </si>
  <si>
    <t>叶轮前盖板GD40/090(φ41.8*φ128*1.2)</t>
  </si>
  <si>
    <t>叶轮前盖板GD50/150-φ47.9-128</t>
  </si>
  <si>
    <t>叶轮前盖板GZA(S)100-65-200/15(φ96.9*φ184*2.0)</t>
  </si>
  <si>
    <t>叶轮前盖板GZA(S)100-80-125/5.5(φ86.9*φ138*2.0)</t>
  </si>
  <si>
    <t>叶轮前盖板GZA(S)100-80-125/7.5(φ86.9*φ150*2.0)</t>
  </si>
  <si>
    <t>叶轮前盖板GZA(S)100-80-160/11(φ96.9*φ168*2.0)</t>
  </si>
  <si>
    <t>叶轮前盖板GZA(S)100-80-160/9.2(φ96.9*φ156*2.0)</t>
  </si>
  <si>
    <t>叶轮前盖板GZA(S)50-32-125/1.1-φ55.5-136</t>
  </si>
  <si>
    <t>叶轮前盖板GZA(S)50-32-160/1.5-φ55.5-166</t>
  </si>
  <si>
    <t>叶轮前盖板GZA(S)50-32-160/2.2-φ55.5-166</t>
  </si>
  <si>
    <t>叶轮前盖板GZA(S)50-32-200/3.0-φ55.5-186</t>
  </si>
  <si>
    <t>叶轮前盖板GZA(S)50-32-200/4.0-φ55.5-200</t>
  </si>
  <si>
    <t>叶轮前盖板GZA(S)65-40-200/5.5(φ65*φ183*2.0)</t>
  </si>
  <si>
    <t>叶轮前盖板GZA(S)65-40-200/7.5(φ65*φ200*2.0)</t>
  </si>
  <si>
    <t>叶轮前盖板GZA(S)65-50-125/1.5(φ65*φ125*1.5)</t>
  </si>
  <si>
    <t>叶轮前盖板GZA(S)65-50-125/2.2(φ65*φ140*1.5)</t>
  </si>
  <si>
    <t>叶轮前盖板GZA(S)65-50-160/4.0 (φ65*φ169*1.5)</t>
  </si>
  <si>
    <t>叶轮前盖板GZA(S)80-50-200/11(φ70.1*φ200*2.0)</t>
  </si>
  <si>
    <t>叶轮前盖板GZA(S)80-50-200/9.2(φ70.1*φ190*2.0)</t>
  </si>
  <si>
    <t>叶轮前盖板GZA(S)80-65-125/3.0(φ70.1*φ130*1.5)</t>
  </si>
  <si>
    <t>叶轮前盖板GZA(S)80-65-125/4.0(φ70.1*φ136*1.5)</t>
  </si>
  <si>
    <t>叶轮前盖板GZA(S)80-65-160/5.5(φ70.1*φ152*1.5)</t>
  </si>
  <si>
    <t>叶轮前盖板GZA(S)80-65-160/7.5(φ70.1*φ166*1.5)</t>
  </si>
  <si>
    <t>叶轮前盖板SZ0376B(φ36.6*φ88*1.2)</t>
  </si>
  <si>
    <t>叶轮前盖板SZ037B SZ060B(φ36.6*φ108*1.2)</t>
  </si>
  <si>
    <t>叶轮前盖板(张浦 2B/RK6.304#)SZ0756B (φ46*φ114*1.2)</t>
  </si>
  <si>
    <t>叶轮前盖板(张浦 2B/RK6.304#)WB120/150 WB2-70/150-Ⅱ(φ36*φ164*1.2)</t>
  </si>
  <si>
    <t>叶轮前盖板(张浦 2B/RK6.304#)WB120/185(φ36*φ179*1.2)</t>
  </si>
  <si>
    <t>叶轮前盖板(张浦 2B/RK6.304#)WB400/185(φ57.3*φ140*1.2)</t>
  </si>
  <si>
    <t>叶轮前盖板(张浦 2B/RK6.304#)WB400/150(φ57.3*φ132*1.2)</t>
  </si>
  <si>
    <t>叶轮前盖板(张浦 2B/RK6.304#)WB50/025 (φ36*φ102*1.2)</t>
  </si>
  <si>
    <t>叶轮前盖板(张浦 2B/RK6.304#)WB50/0256(φ36*φ88*1.2)</t>
  </si>
  <si>
    <t>叶轮前盖板(张浦 2B/RK6.304#)WB70/037 WB70/0756(φ36*φ120*1.2)</t>
  </si>
  <si>
    <t>叶轮前盖板(张浦 2B/RK6.304#)WB70/055 WB70/0906 WB2-120/185-Ⅰ WB2-70/110-Ⅰ WB2-70/1856-Ⅰ WB120/1106(φ36*φ132*1.2)</t>
  </si>
  <si>
    <t>叶轮前盖板(张浦 2B/RK6.304#)WB50/037 WB70/0556 (φ36*φ112*1.2)</t>
  </si>
  <si>
    <t>叶轮前盖板(张浦 2B/RK6.304#)WB70/075 WB120/1506 WB2-70/150-Ⅰ WB2-70/110-Ⅱ WB2-70/1856-Ⅱ(φ36*φ147*1.2)</t>
  </si>
  <si>
    <t>叶轮前盖板(张浦 2B/RK6.304#)WB70/090 WB120/110 WB120/1856 WB2-120/185-Ⅱ WB2-120/260 WB2-120/300-Ⅰ(φ36*φ158*1.2)</t>
  </si>
  <si>
    <t>叶轮前盖板(张浦 2B/RK6.304#)WB70/110-φ37.8-170</t>
  </si>
  <si>
    <t>叶轮前盖板(张浦 2B/RK6.304#)WB2-70/185-Ⅰ (φ36*φ152*1.2)</t>
  </si>
  <si>
    <t>叶轮前盖板（西班牙布隆奇）BLOCH-φ54-103</t>
  </si>
  <si>
    <t>叶轮前盖板(316)WB70/075-M φ147</t>
  </si>
  <si>
    <t>叶轮前盖板(316)WB70/110-φ37.8-170-M</t>
  </si>
  <si>
    <t>叶轮前盖板(316)WB120/185-M φ179</t>
  </si>
  <si>
    <t>叶轮前盖板(316)GZA(S)65-50-160/3.0-M(φ65*φ152*1.5)</t>
  </si>
  <si>
    <t>叶轮前盖板(316)GZA(S)65-40-200/5.5-M(φ65*φ183*2.0)</t>
  </si>
  <si>
    <t>叶轮前盖板(316)GZA(S)65-40-200/7.5-M(φ65*φ200*2.0)</t>
  </si>
  <si>
    <t>叶轮前盖板(316)GZA(S)80-50-200/9.2-M(φ70.1*φ190*2.0)</t>
  </si>
  <si>
    <t>叶轮前盖板(316)GZA(S)80-65-160/7.5-M(φ70.1*φ166*1.5)</t>
  </si>
  <si>
    <t>叶轮前盖板(316)GZA(S)100-80-160/9.2-M(φ96.9*φ156*2.0)</t>
  </si>
  <si>
    <t>叶轮前盖板(316)GZA(S)100-80-160/11.0-M(φ96.9*φ168*2.0)</t>
  </si>
  <si>
    <t>叶轮前盖板(316)GZA(S)100-65-200/18.5-M(φ96.9*φ198*2.0)</t>
  </si>
  <si>
    <t>叶轮前盖板(张浦 2B/RK6.304#)WB200/150-φ47.9-147</t>
  </si>
  <si>
    <t>叶轮前盖板DL4-φ35-86-A</t>
  </si>
  <si>
    <t>叶轮前盖板(316)DL10-M DL8-M (φ42.6*φ93*0.7)</t>
  </si>
  <si>
    <t>叶轮前盖板BB250A/075-φ55.5-116</t>
  </si>
  <si>
    <t>叶轮前盖板BB500A/300-φ67.7-147</t>
  </si>
  <si>
    <t>叶轮前盖板BB500A/220-φ67.7-140</t>
  </si>
  <si>
    <t>叶轮前盖板BB500A/150-φ67.7-120</t>
  </si>
  <si>
    <t>叶轮前盖板BB250A/055-φ55.5-98</t>
  </si>
  <si>
    <t>叶轮前盖板(316)DL15-M DL16-M φ105</t>
  </si>
  <si>
    <t>叶轮前盖板GZA(S)80-50-200/15-φ72.8-211</t>
  </si>
  <si>
    <t>叶轮前盖板GZA(S)50-32-200/5.5-φ55.7-211</t>
  </si>
  <si>
    <t>叶轮前盖板GZA(S)65-40-200/9.2-φ67.2-211</t>
  </si>
  <si>
    <t>叶轮前盖板GZA(S)100-80-200/37(DIN)-φ111.2-212</t>
  </si>
  <si>
    <t>叶轮前盖板(316)GZA(S)50-32-200/5.5-φ55.7-211-M</t>
  </si>
  <si>
    <t>叶轮前盖板(316)DL2-φ30.65-90-M</t>
  </si>
  <si>
    <t>叶轮前盖板(316)DL1-φ30.65-73-M</t>
  </si>
  <si>
    <t>叶轮前盖板(316)DL4-φ35-86-A-M</t>
  </si>
  <si>
    <t>叶轮前盖板(花浪)(316)PPL5-φ35-80-M</t>
  </si>
  <si>
    <t>叶轮前盖板(316)GZA(S)100-80-200/37(DIN)-φ111.2-212-M</t>
  </si>
  <si>
    <t>叶轮前盖板(316)GZA(S)80-50-200/15-φ72.8-211-M</t>
  </si>
  <si>
    <t>叶轮前盖板(316)WB400/185-M(φ57.3*φ140*1.2)</t>
  </si>
  <si>
    <t>叶轮前盖板(316)GZA(S)65-40-200/9.2-φ67.2-211-M</t>
  </si>
  <si>
    <t>叶轮前盖板GZA(S)65-40-200/11-φ67.9-224</t>
  </si>
  <si>
    <t>叶轮前盖板GZA(S)80-50-200/18.5-φ72.8-224</t>
  </si>
  <si>
    <t>叶轮前盖板GZA(S)50-32-200/7.5-φ55.5-224</t>
  </si>
  <si>
    <t>叶轮前盖板(316)GZA(S)50-32-200/7.5-φ55.5-224-M</t>
  </si>
  <si>
    <t>叶轮后盖板BB250/055(φ20*φ98*2.0)</t>
  </si>
  <si>
    <t>叶轮后盖板BB250/075(φ20*φ116*2.0)</t>
  </si>
  <si>
    <t>叶轮后盖板BB300/110(φ25*φ132*2.0)</t>
  </si>
  <si>
    <t>叶轮后盖板BB500/150(φ25*φ120*2.0)</t>
  </si>
  <si>
    <t>叶轮后盖板BK100</t>
  </si>
  <si>
    <t>叶轮后盖板BK120</t>
  </si>
  <si>
    <t>叶轮后盖板BK150(φ25*φ95*2.5)</t>
  </si>
  <si>
    <t>叶轮后盖板BK200 WQ20-10-1.5D(φ25*φ103*2.5)</t>
  </si>
  <si>
    <t>叶轮后盖板BK300(φ25*φ112*2.5)</t>
  </si>
  <si>
    <t>叶轮后盖板BK3006</t>
  </si>
  <si>
    <t>叶轮后盖板BK400 WQ20-14-2.2(φ25*φ118*2.5)</t>
  </si>
  <si>
    <t>叶轮后盖板DL1A-φ12.9-73</t>
  </si>
  <si>
    <t>叶轮后盖板(大卫）B14-45</t>
  </si>
  <si>
    <t>叶轮后盖板DL2A-φ12.9-90</t>
  </si>
  <si>
    <t>叶轮后盖板DL4A</t>
  </si>
  <si>
    <t>叶轮后盖板DL5A-φ12.9-76</t>
  </si>
  <si>
    <t>叶轮后盖板DL10A</t>
  </si>
  <si>
    <t>叶轮后盖板DL15A DL16A DL20A φ105</t>
  </si>
  <si>
    <t>叶轮后盖板DL32(φ30*φ115*1.2)</t>
  </si>
  <si>
    <t>叶轮后盖板DL45(φ30*φ132*1.5)</t>
  </si>
  <si>
    <t>叶轮后盖板GD40/055-φ12-108</t>
  </si>
  <si>
    <t>叶轮后盖板GD40/075-φ12-120</t>
  </si>
  <si>
    <t>叶轮后盖板GD40/090-φ12-128</t>
  </si>
  <si>
    <t>叶轮后盖板GZA(S)100-65-200/15(φ38*φ184*2.5)</t>
  </si>
  <si>
    <t>叶轮后盖板GZA(S)100-65-200/18.5(φ38*φ198*2.5)</t>
  </si>
  <si>
    <t>叶轮后盖板GZA(S)100-80-125/5.5(φ30*φ138*2.5))</t>
  </si>
  <si>
    <t>叶轮后盖板GZA(S)100-80-160/11(φ38*φ168*2.5)</t>
  </si>
  <si>
    <t>叶轮后盖板GZA(S)50-32-200/3.0-φ30-186</t>
  </si>
  <si>
    <t>叶轮后盖板GZA(S)50-32-200/4.0-φ30-200</t>
  </si>
  <si>
    <t>叶轮后盖板GZA(S)65-40-200/5.5(φ30*φ183*2.5)</t>
  </si>
  <si>
    <t>叶轮后盖板GZA(S)65-40-200/7.5 (φ30*φ200*2.5)</t>
  </si>
  <si>
    <t>叶轮后盖板GZA(S)80-65-160/7.5-φ30-166</t>
  </si>
  <si>
    <t>叶轮后盖板SZ037B SZ060B WB200/0756(φ20*φ108*2.0)</t>
  </si>
  <si>
    <t>叶轮后盖板WB120/075(φ20*φ137*2)</t>
  </si>
  <si>
    <t>叶轮后盖板WB2-120/185-Ⅱ (φ25*φ158*2.0)</t>
  </si>
  <si>
    <t>叶轮后盖板WB2-120/300-Ⅱ(φ25*φ176*2.0)</t>
  </si>
  <si>
    <t>叶轮后盖板WB2-70/185-Ⅱ(φ20*φ176*2)</t>
  </si>
  <si>
    <t>叶轮后盖板WB400/185 (φ25*φ140*2)</t>
  </si>
  <si>
    <t>叶轮后盖板WB400/150 WB2-120/185-Ⅰ(φ25*φ132*2)</t>
  </si>
  <si>
    <t>叶轮后盖板WB50/025 WB50/0376(φ10*φ102*2)</t>
  </si>
  <si>
    <t>叶轮后盖板WB50/037(φ10*φ112*2)</t>
  </si>
  <si>
    <t>叶轮后盖板WB70/037 WB70/0756 WB200/1106 SZ0906B(φ20*φ120*2)</t>
  </si>
  <si>
    <t>叶轮后盖板WB70/055 WB70/0906 WB120/1106(φ20*φ132*2)</t>
  </si>
  <si>
    <t>叶轮后盖板WB70/075 WB120/1506 WB200/150  WB2-70/1856-Ⅱ(φ20*φ147*2)</t>
  </si>
  <si>
    <t>叶轮后盖板WB70/090 WB120/110(φ20*φ158*2)</t>
  </si>
  <si>
    <t>叶轮后盖板WB70/110(φ20*φ170*2)</t>
  </si>
  <si>
    <t>叶轮后盖板WQ15-7-1.1D(φ25*φ89*2.5)</t>
  </si>
  <si>
    <t>叶轮后盖板WB2-70/185-Ⅰ (φ20*φ152*2.0)</t>
  </si>
  <si>
    <t>叶轮后盖板（西班牙布隆奇）BLOCH-φ14-103</t>
  </si>
  <si>
    <t>叶轮后盖板(316)BK150-M</t>
  </si>
  <si>
    <t>叶轮后盖板(316)BK200-M</t>
  </si>
  <si>
    <t>叶轮后盖板(316)BK300-M</t>
  </si>
  <si>
    <t>叶轮后盖板(316)BK400-M</t>
  </si>
  <si>
    <t>叶轮后盖板(316)GZA(S)100-65-200/18.5-M(φ38*φ198*2.5)</t>
  </si>
  <si>
    <t>叶轮后盖板(316)GZA(S)100-80-160/11-M(φ38*φ168*2.5)</t>
  </si>
  <si>
    <t>叶轮后盖板(316)GZA(S)50-32-125/1.1-φ30-136-M</t>
  </si>
  <si>
    <t>叶轮后盖板(316)GZA(S)50-32-200/4.0-φ30-200-M</t>
  </si>
  <si>
    <t>叶轮后盖板(316)GZA(S)80-65-160/5.5-φ30-152-M</t>
  </si>
  <si>
    <t>叶轮后盖板(316)（细轴）WB120/185-φ20-179-M</t>
  </si>
  <si>
    <t>叶轮后盖板(316)WB200/075-M φ125</t>
  </si>
  <si>
    <t>叶轮后盖板(316)WB200/185-φ20-160-M</t>
  </si>
  <si>
    <t>叶轮后盖板(316)WB70/037-M φ120</t>
  </si>
  <si>
    <t>叶轮后盖板(316)WB70/110-M φ170</t>
  </si>
  <si>
    <t>叶轮后盖板(加大轴)WB120/185-φ25-179</t>
  </si>
  <si>
    <t>叶轮后盖板(加大轴)WB200/185 φ160</t>
  </si>
  <si>
    <t>叶轮后盖板GZA(S)50-32-125/1.1-φ30-136</t>
  </si>
  <si>
    <t>叶轮后盖板GZA(S)50-32-160/1.5-φ30-152</t>
  </si>
  <si>
    <t>叶轮后盖板(316)GZA(S)50-32-160/1.5-φ30-152-M</t>
  </si>
  <si>
    <t>叶轮后盖板GZA(S)50-32-160/2.2-φ30-166</t>
  </si>
  <si>
    <t>叶轮后盖板GZA(S)80-65-125/3.0-φ30-130</t>
  </si>
  <si>
    <t>叶轮后盖板GZA(S)65-50-160/4.0(φ30*φ169*2)</t>
  </si>
  <si>
    <t>叶轮后盖板GZA(S)80-50-200/9.2-φ30-190</t>
  </si>
  <si>
    <t>叶轮后盖板(316)WB2-120/185-Ⅱ-M (φ25*φ158*2.0)</t>
  </si>
  <si>
    <t>叶轮后盖板GZA(S)80-65-160/5.5-φ30-152</t>
  </si>
  <si>
    <t>叶轮后盖板(美国柏朗)W-GZ320 W-GZ321 W-GZ326 W-GZ327(φ136*2.0)</t>
  </si>
  <si>
    <t>叶轮后盖板(美国柏朗)W-GZ321 W-GZ324 W-GZ327(φ152*2.0)</t>
  </si>
  <si>
    <t>叶轮后盖板(美国柏朗)W-GZ321 W-GZ327 W-GZ328(φ166*2.0)</t>
  </si>
  <si>
    <t>叶轮后盖板(美国柏朗)W-GZ322(φ186*2.5)</t>
  </si>
  <si>
    <t>叶轮后盖板(美国柏朗)W-GZ322(φ200*2.5)</t>
  </si>
  <si>
    <t>叶轮后盖板(美国柏朗)W-GZ324 W-GZ325(φ169*2.0)</t>
  </si>
  <si>
    <t>叶轮后盖板(美国柏朗)W-GZ326(φ130*2.0)</t>
  </si>
  <si>
    <t>叶轮后盖板(316)WB70/075-M WB200/150-M φ147</t>
  </si>
  <si>
    <t>叶轮后盖板BK1006(φ20*φ82*2.5)</t>
  </si>
  <si>
    <t>叶轮后盖板BK506(φ10*φ92*2)</t>
  </si>
  <si>
    <t>叶轮后盖板(316)BK1006-M(φ20*φ82*2.5)</t>
  </si>
  <si>
    <t>叶轮后盖板BK1506(φ25*φ85*2.5)</t>
  </si>
  <si>
    <t>叶轮后盖板(316)BK1506-M(φ25*φ85*2.5)</t>
  </si>
  <si>
    <t>叶轮后盖板DL4A-10-86-A</t>
  </si>
  <si>
    <t>叶轮后盖板SZ0756B(φ20*φ114*2)</t>
  </si>
  <si>
    <t>叶轮后盖板(316)DL10A-M DL8A-M (φ14.8*φ93*1.0)</t>
  </si>
  <si>
    <t>叶轮后盖板(316)DL15A-M DL16A-M DL20A-M φ105</t>
  </si>
  <si>
    <t>叶轮后盖板GZA(S)80-50-200/15-φ30-211</t>
  </si>
  <si>
    <t>叶轮后盖板GZA(S)50-32-200/5.5-φ30-211</t>
  </si>
  <si>
    <t>叶轮后盖板GZA(S)65-40-200/9.2-φ30-211</t>
  </si>
  <si>
    <t>叶轮后盖板GZA(S)100-80-200/37(DIN)-φ38-212</t>
  </si>
  <si>
    <t>叶轮后盖板GZA50-32-160/2.2-K-φ30-147</t>
  </si>
  <si>
    <t>叶轮后盖板BB50/025-φ18-102</t>
  </si>
  <si>
    <t>叶轮后盖板BB50/037-φ18-112</t>
  </si>
  <si>
    <t>叶轮后盖板DW(S)5A-φ12.9-90</t>
  </si>
  <si>
    <t>叶轮后盖板(316)GZA(S)50-32-200/5.5-φ30-211-M</t>
  </si>
  <si>
    <t>叶轮后盖板(316)DL2A-φ12.9-90-M</t>
  </si>
  <si>
    <t>叶轮后盖板(316)DL1A-φ12.9-73-M</t>
  </si>
  <si>
    <t>叶轮后盖板(316)DL4A-10-86-A-M</t>
  </si>
  <si>
    <t>叶轮后盖板(大卫)(316)CY70-110/P-M(φ25*φ144*2)</t>
  </si>
  <si>
    <t>叶轮后盖板(花浪)(316)PPL5A-φ13-74-M</t>
  </si>
  <si>
    <t>叶轮后盖板(316)GZA(S)100-80-200/37(DIN)-φ38-212-M</t>
  </si>
  <si>
    <t>叶轮后盖板(316)GZA(S)80-50-200/15-φ30-211-M</t>
  </si>
  <si>
    <t>叶轮后盖板(316)WB400/185-M (φ25*φ140*2)</t>
  </si>
  <si>
    <t>叶轮后盖板(316)GZA(S)65-40-200/9.2-φ30-211-M</t>
  </si>
  <si>
    <t>叶轮后盖板GZA(S)65-40-200/11-φ38-224</t>
  </si>
  <si>
    <t>叶轮后盖板GZA(S)50-32-200/7.5-φ30-224</t>
  </si>
  <si>
    <t>叶轮后盖板GZA(S)80-50-200/18.5-6-φ38-200</t>
  </si>
  <si>
    <t>叶轮后盖板GZA(S)65-40-200/11-6-φ38-190</t>
  </si>
  <si>
    <t>叶轮后盖板BK550-φ25-134</t>
  </si>
  <si>
    <t>叶轮后盖板(316)GZA(S)50-32-200/7.5-φ30-224-M</t>
  </si>
  <si>
    <t>叶轮后盖板BK1000-φ30-140</t>
  </si>
  <si>
    <t>叶轮后盖板BK750-φ30-126</t>
  </si>
  <si>
    <t>叶轮后盖板(316)GZA(S)65-40-200/11-φ38-224-M</t>
  </si>
  <si>
    <t>叶轮后盖板(316)SZ090B-M(φ20*φ140*2)</t>
  </si>
  <si>
    <t>叶轮后盖板(316)DW(S)5A-φ12.9-90-M</t>
  </si>
  <si>
    <t>叶轮后盖板(316)WB2-70/185-Ⅱ-M(φ20*φ176*2)</t>
  </si>
  <si>
    <t>叶轮后盖板(美国柏朗)W-GZ322-φ33.34-211</t>
  </si>
  <si>
    <t>叶轮叶片BB250/055</t>
  </si>
  <si>
    <t>叶轮叶片BB300/110</t>
  </si>
  <si>
    <t>叶轮叶片BB300/150</t>
  </si>
  <si>
    <t>叶轮叶片BB500/150</t>
  </si>
  <si>
    <t>叶轮叶片BK120</t>
  </si>
  <si>
    <t>叶轮叶片BK200</t>
  </si>
  <si>
    <t>叶轮叶片BK300-φ16-112</t>
  </si>
  <si>
    <t>叶轮叶片BK50-φ10-102</t>
  </si>
  <si>
    <t>叶轮叶片DL1</t>
  </si>
  <si>
    <t>叶轮叶片DL2</t>
  </si>
  <si>
    <t>叶轮叶片DL3A-φ12.9-73</t>
  </si>
  <si>
    <t>叶轮叶片DL4/DW4</t>
  </si>
  <si>
    <t>叶轮叶片DL5A-φ12.9-76</t>
  </si>
  <si>
    <t>叶轮叶片DL10 DL8</t>
  </si>
  <si>
    <t>叶轮叶片DL12</t>
  </si>
  <si>
    <t>叶轮叶片DL15A-φ17.4-105</t>
  </si>
  <si>
    <t>叶轮叶片DL20</t>
  </si>
  <si>
    <t>叶轮叶片DL32-1</t>
  </si>
  <si>
    <t>叶轮叶片DL64-1</t>
  </si>
  <si>
    <t>叶轮叶片(小直径）DL64-2</t>
  </si>
  <si>
    <t>叶轮叶片DW(S)5</t>
  </si>
  <si>
    <t>叶轮叶片GD50/150-φ12-128</t>
  </si>
  <si>
    <t>叶轮叶片GZA(S)100-65-200/15</t>
  </si>
  <si>
    <t>叶轮叶片GZA(S)100-80-125/5.5 φ138</t>
  </si>
  <si>
    <t>叶轮叶片GZA(S)100-80-125/7.5 φ150</t>
  </si>
  <si>
    <t>叶轮叶片GZA(S)100-80-160/9.2</t>
  </si>
  <si>
    <t>叶轮叶片GZA(S)50-32-125/1.1 φ136</t>
  </si>
  <si>
    <t>叶轮叶片GZA(S)50-32-160/1.5 φ152</t>
  </si>
  <si>
    <t>叶轮叶片GZA(S)50-32-160/2.2 φ166</t>
  </si>
  <si>
    <t>叶轮叶片GZA(S)50-32-200/3.0 φ186</t>
  </si>
  <si>
    <t>叶轮叶片GZA(S)50-32-200/4.0 φ200</t>
  </si>
  <si>
    <t>叶轮叶片GZA(S)65-40-200/5.5 φ183</t>
  </si>
  <si>
    <t>叶轮叶片GZA(S)65-40-200/7.5 φ200</t>
  </si>
  <si>
    <t>叶轮叶片GZA(S)65-50-125/1.5 φ125</t>
  </si>
  <si>
    <t>叶轮叶片GZA(S)65-50-125/2.2 φ140</t>
  </si>
  <si>
    <t>叶轮叶片GZA(S)65-50-160/3.0 φ152</t>
  </si>
  <si>
    <t>叶轮叶片GZA(S)65-50-160/4.0-φ20-φ169</t>
  </si>
  <si>
    <t>叶轮叶片GZA(S)80-50-200/11 φ200</t>
  </si>
  <si>
    <t>叶轮叶片GZA(S)80-65-125/3.0 φ130</t>
  </si>
  <si>
    <t>叶轮叶片GZA(S)80-65-125/4.0 φ136</t>
  </si>
  <si>
    <t>叶轮叶片GZA(S)80-65-160/5.5 φ152</t>
  </si>
  <si>
    <t>叶轮叶片GZA(S)80-65-160/7.5 φ166</t>
  </si>
  <si>
    <t>叶轮叶片SZ0376B</t>
  </si>
  <si>
    <t>叶轮叶片SZ037B</t>
  </si>
  <si>
    <t>叶轮叶片SZ060B</t>
  </si>
  <si>
    <t>叶轮叶片SZ075B</t>
  </si>
  <si>
    <t>叶轮叶片SZ0906B</t>
  </si>
  <si>
    <t>叶轮叶片WB120/185-φ16-179</t>
  </si>
  <si>
    <t>叶轮叶片(大卫)CY70-90</t>
  </si>
  <si>
    <t>叶轮叶片WB200/150</t>
  </si>
  <si>
    <t>叶轮叶片 WB200/075 φ125</t>
  </si>
  <si>
    <t>叶轮叶片WB200/185 φ160</t>
  </si>
  <si>
    <t>叶轮叶片WB2-120/185-Ⅱ WB2-120/300-Ⅰ</t>
  </si>
  <si>
    <t>第Ⅰ级叶轮叶片WB2-70/150-Ⅰ-φ12-147</t>
  </si>
  <si>
    <t>叶轮叶片WB2-70/150-Ⅱ</t>
  </si>
  <si>
    <t>叶轮叶片WB2-70/185Ⅱ-φ12-176</t>
  </si>
  <si>
    <t>叶轮叶片WB400/185</t>
  </si>
  <si>
    <t>叶轮叶片WB400/150</t>
  </si>
  <si>
    <t>叶轮叶片WB50/0256</t>
  </si>
  <si>
    <t>叶轮叶片WB50/037</t>
  </si>
  <si>
    <t>叶轮叶片WB70/037 WB70/0756</t>
  </si>
  <si>
    <t>叶轮叶片WB50/025</t>
  </si>
  <si>
    <t>叶轮叶片WB70/055 WB70/0906</t>
  </si>
  <si>
    <t>叶轮叶片WB70/075 WB120/1506</t>
  </si>
  <si>
    <t>叶轮叶片WB70/090 WB120/1856</t>
  </si>
  <si>
    <t>叶轮叶片WB70/110-φ12-170</t>
  </si>
  <si>
    <t>叶轮叶片WB70/1106</t>
  </si>
  <si>
    <t>叶轮叶片WQ15-7-1.1D</t>
  </si>
  <si>
    <t>叶轮叶片WQ20-10-1.5D</t>
  </si>
  <si>
    <t>叶轮叶片WQ20-14-2.2-φ16-118</t>
  </si>
  <si>
    <t>叶轮叶片WQ25-15-3.0-φ16-129.4</t>
  </si>
  <si>
    <t>叶轮叶片大卫B14-45</t>
  </si>
  <si>
    <t>叶轮叶片（西班牙布隆奇）BLOCH-φ14-103</t>
  </si>
  <si>
    <t>叶轮叶片(316)BK200-M</t>
  </si>
  <si>
    <t>叶轮叶片(316)BK300-φ16-112-M</t>
  </si>
  <si>
    <t>叶轮叶片(316)GZA(S)100-65-200/15.0-M</t>
  </si>
  <si>
    <t>叶轮叶片(316)GZA(S)100-65-200/18.5-M</t>
  </si>
  <si>
    <t>叶轮叶片(316)GZA(S)100-80-160/11.0-M</t>
  </si>
  <si>
    <t>叶轮叶片(316)GZA(S)50-32-125/1.1-M φ136</t>
  </si>
  <si>
    <t>叶轮叶片(316)GZA(S)50-32-160/1.5-M φ152</t>
  </si>
  <si>
    <t>叶轮叶片(316)GZA(S)65-50-125/1.5-M φ125</t>
  </si>
  <si>
    <t>叶轮叶片(316)GZA(S)65-50-125/2.2-M φ140</t>
  </si>
  <si>
    <t>叶轮叶片(316)GZA(S)80-65-125/3.0-M φ130</t>
  </si>
  <si>
    <t>叶轮叶片(316)GZA(S)80-65-125/4.0-M φ136</t>
  </si>
  <si>
    <t>叶轮叶片(316)GZA(S)80-65-160/7.5-M φ166</t>
  </si>
  <si>
    <t>叶轮叶片(316)WB120/185-M φ179</t>
  </si>
  <si>
    <t>叶轮叶片(316)WB200/185-M φ160</t>
  </si>
  <si>
    <t>叶轮叶片(316)WB70/037-M</t>
  </si>
  <si>
    <t>叶轮叶片(316)WB70/075-M φ147</t>
  </si>
  <si>
    <t>叶轮叶片(316)WB70/110-M φ170</t>
  </si>
  <si>
    <t>叶轮叶片(316)BK120-M</t>
  </si>
  <si>
    <t>叶轮叶片(316)GZA(S)100-80-125/5.5-M φ138</t>
  </si>
  <si>
    <t>叶轮叶片BK506</t>
  </si>
  <si>
    <t>叶轮叶片(316)BK1006-M</t>
  </si>
  <si>
    <t>叶轮叶片BK1506</t>
  </si>
  <si>
    <t>叶轮叶片(316)BK1506-M</t>
  </si>
  <si>
    <t>叶轮叶片DW(D)3-2.6*55.8</t>
  </si>
  <si>
    <t>叶轮叶片GZA(S)100-80-125/4.0-φ20-128(借用GZA(S)100-80-125/5.5叶片激光割)</t>
  </si>
  <si>
    <t>叶轮叶片DL4A-φ12.9-86</t>
  </si>
  <si>
    <t>叶轮叶片(花浪，凸点尺寸5*1)(新)PPL5A-φ13-74</t>
  </si>
  <si>
    <t>叶轮叶片(316)DL10-M DL8-M</t>
  </si>
  <si>
    <t>叶轮叶片(316)DL15A-φ17.4-105-M</t>
  </si>
  <si>
    <t>叶轮叶片GZA(S)80-50-200/15-φ20-211</t>
  </si>
  <si>
    <t>叶轮叶片（广州雅韶）GZA(S)65-50-160/4.0-φ20-140-YS</t>
  </si>
  <si>
    <t>叶轮叶片GZA(S)50-32-200/5.5-φ20-211</t>
  </si>
  <si>
    <t>叶轮叶片GZA(S)65-40-200/9.2-φ20-211</t>
  </si>
  <si>
    <t>叶轮叶片GZA(S)100-80-200/37(DIN)-φ26-212</t>
  </si>
  <si>
    <t>叶轮叶片GZA50-32-160/2.2-K-φ20-147</t>
  </si>
  <si>
    <t>叶轮叶片(316)GZA(S)50-32-200/5.5-φ20-211-M</t>
  </si>
  <si>
    <t>叶轮叶片(316)DL2-M</t>
  </si>
  <si>
    <t>叶轮叶片(316)DL1-M</t>
  </si>
  <si>
    <t>叶轮叶片(316)DL3A-φ12.9-73-M</t>
  </si>
  <si>
    <t>叶轮叶片(316)DL4A-φ12.9-86-M</t>
  </si>
  <si>
    <t>叶轮叶片DW(S)5A-φ12.9-90</t>
  </si>
  <si>
    <t>叶轮叶片(花浪)(316)PPL5A-φ13-74-M</t>
  </si>
  <si>
    <t>叶轮叶片(316)GZA(S)100-80-200/37(DIN)-φ26-212-M</t>
  </si>
  <si>
    <t>叶轮叶片GD50/110-φ12-128</t>
  </si>
  <si>
    <t>叶轮叶片GD50/055-φ12-108</t>
  </si>
  <si>
    <t>叶轮叶片(316)GZA(S)80-50-200/15-φ20-211-M</t>
  </si>
  <si>
    <t>叶轮叶片(316)WB400/185-M</t>
  </si>
  <si>
    <t>叶轮叶片(316)GZA(S)65-40-200/9.2-φ20-211-M</t>
  </si>
  <si>
    <t>叶轮叶片GZA(S)65-40-200/11-φ26-224</t>
  </si>
  <si>
    <t>叶轮叶片GZA(S)80-50-200/18.5-φ26-224</t>
  </si>
  <si>
    <t>叶轮叶片GZA(S)50-32-200/7.5-φ20-224</t>
  </si>
  <si>
    <t>叶轮叶片GZA(S)65-40-200/11-6-φ26-190</t>
  </si>
  <si>
    <t>叶轮叶片BK550-φ16-134</t>
  </si>
  <si>
    <t>叶轮叶片(316)GZA(S)50-32-200/7.5-φ20-224-M</t>
  </si>
  <si>
    <t>叶轮叶片BK1000-φ30-140</t>
  </si>
  <si>
    <t>叶轮叶片BK750-φ20-126</t>
  </si>
  <si>
    <t>叶轮叶片(316)GZA(S)80-50-200/18.5-φ26-224-M</t>
  </si>
  <si>
    <t>叶轮颈环DL32</t>
  </si>
  <si>
    <t>叶轮颈环DL45</t>
  </si>
  <si>
    <t>平衡环GZA(S)80-65-160/7.5 GZA(S)80-50-200/11</t>
  </si>
  <si>
    <t>叶轮平衡环(316)GZA(S)100-M(GZA(S)100-80-160-M  GZA(S)100-65-200-M)</t>
  </si>
  <si>
    <t>后盖板加强垫GD40/075-φ12-120</t>
  </si>
  <si>
    <t>后盖板加强垫WB400/185-φ25-140</t>
  </si>
  <si>
    <t>叶轮后盖板垫片（利欧）BK50-LEO-φ10-102</t>
  </si>
  <si>
    <t>后盖板加强垫(316)WB400/185-φ25-140-M</t>
  </si>
  <si>
    <t>叶轮平衡环W-GZ328-φ33.34-200</t>
  </si>
  <si>
    <t>导流筒ⅠDL(1～3)</t>
  </si>
  <si>
    <t>导流筒ⅠDL(8～12)</t>
  </si>
  <si>
    <t>导流筒ⅠDL(15～20）</t>
  </si>
  <si>
    <t>导流筒ⅠDL32</t>
  </si>
  <si>
    <t>导流筒ⅠDL64</t>
  </si>
  <si>
    <t>导流筒ⅡDW2</t>
  </si>
  <si>
    <t>导流筒ⅡDL(8～12)</t>
  </si>
  <si>
    <t>导流筒ⅡDL(15～20)</t>
  </si>
  <si>
    <t>导流筒ⅡDL32</t>
  </si>
  <si>
    <t>导流筒ⅡDL45</t>
  </si>
  <si>
    <t>导流筒ⅢDL32</t>
  </si>
  <si>
    <t>导流筒ⅢDL90</t>
  </si>
  <si>
    <t>导流筒ⅢDW16</t>
  </si>
  <si>
    <t>导流筒垫耳DL(1～3)</t>
  </si>
  <si>
    <t>导流筒垫耳DL10</t>
  </si>
  <si>
    <t>导流筒蜗盖DL(8～12)A</t>
  </si>
  <si>
    <t>导流筒蜗盖DL(15～20)A</t>
  </si>
  <si>
    <t>导流筒底板ⅠDL(1～5)</t>
  </si>
  <si>
    <t>导流筒底板Ⅰ（1.0mm料厚）DL(8～20)</t>
  </si>
  <si>
    <t>导流筒底板ⅡDL10</t>
  </si>
  <si>
    <t>导叶DL(1～3)</t>
  </si>
  <si>
    <t>导流叶片DW4 DL4</t>
  </si>
  <si>
    <t>导叶DL(8～12)</t>
  </si>
  <si>
    <t>导流叶片DL15</t>
  </si>
  <si>
    <t>导流叶片DL32</t>
  </si>
  <si>
    <t>导流叶片DL90</t>
  </si>
  <si>
    <t>导流筒ⅢDW8</t>
  </si>
  <si>
    <t>导流筒Ⅰ(有导流点)（新）DL(4～5)A</t>
  </si>
  <si>
    <t>导流筒Ⅱ(有导流点)DW4A</t>
  </si>
  <si>
    <t>导叶(花浪，1.2mm料厚)(新)PPL5</t>
  </si>
  <si>
    <t>导流筒Ⅰ(有导流点)（新）(316)DL(4～5)A-M</t>
  </si>
  <si>
    <t>导流筒底板Ⅰ(316)DL(1～5)-M</t>
  </si>
  <si>
    <t>导流筒Ⅰ(316)DL(8～12)-M</t>
  </si>
  <si>
    <t>导叶（316）DL(8～12)-M</t>
  </si>
  <si>
    <t>导流筒垫耳(316)DL10-M</t>
  </si>
  <si>
    <t>导流筒底板Ⅱ(316)DL10-M</t>
  </si>
  <si>
    <t>导流筒蜗盖(316)DL(8～12)A-M</t>
  </si>
  <si>
    <t>导流筒Ⅰ(316)DL(15～20)-M</t>
  </si>
  <si>
    <t>导流叶片(316)DL15-M</t>
  </si>
  <si>
    <t>导流筒蜗盖(316)DL(15～20)A-M</t>
  </si>
  <si>
    <t>导流筒Ⅰ(316)DL(1～3)-M</t>
  </si>
  <si>
    <t>导流筒垫耳(316)DL(1～3)-M</t>
  </si>
  <si>
    <t>导流筒底板Ⅱ(316)DL2-M</t>
  </si>
  <si>
    <t>导叶(316)DL(1～3)-M</t>
  </si>
  <si>
    <t>导叶(花浪)(316)PPL5-M</t>
  </si>
  <si>
    <t>导流筒底板Ⅰ(316)DL(8～20)-M</t>
  </si>
  <si>
    <t>导流筒Ⅱ(316)DL(8～12)-M</t>
  </si>
  <si>
    <t>导流筒Ⅱ(316)DL(15～20)-M</t>
  </si>
  <si>
    <t>导叶前盖板DL32</t>
  </si>
  <si>
    <t>导叶后盖板DL32</t>
  </si>
  <si>
    <t>定位连接件DL90</t>
  </si>
  <si>
    <t>口环支架DL32</t>
  </si>
  <si>
    <t>口环支架DL45</t>
  </si>
  <si>
    <t>口环支架DL64</t>
  </si>
  <si>
    <t>口环支架DL90</t>
  </si>
  <si>
    <t>扣环A(316)DL2-M</t>
  </si>
  <si>
    <t>扣环B(316)DL2-M</t>
  </si>
  <si>
    <t>涡室后盖支撑环GD40</t>
  </si>
  <si>
    <t>密封压盖DL(15～20)</t>
  </si>
  <si>
    <t>密封圈压盖GD40</t>
  </si>
  <si>
    <t>密封压盖WQ15-7-1.1D</t>
  </si>
  <si>
    <t>轴套定位环ⅡDL32 DL45 DL64 DL90（φ35*φ31*2）</t>
  </si>
  <si>
    <t>轴套定位环ⅠDL32 DL45 DL64 DL90（φ35*φ28*2）</t>
  </si>
  <si>
    <t>导流筒加强件DL10</t>
  </si>
  <si>
    <t>密封压片(张浦 2B/RK6.304#)DL(1～3)A</t>
  </si>
  <si>
    <t>密封压盖(张浦 2B/RK6.304#)DL(1～3)A</t>
  </si>
  <si>
    <t>密封压片DL(4～5)A</t>
  </si>
  <si>
    <t>密封压盖DL(4～5)A</t>
  </si>
  <si>
    <t>蜗盖支撑件DL(8～20)A</t>
  </si>
  <si>
    <t>密封压盖HM80-08</t>
  </si>
  <si>
    <t>密封压片HM80-08</t>
  </si>
  <si>
    <t>密封压片(316)DL(1～3)A-M</t>
  </si>
  <si>
    <t>密封压盖(316)DL(1～3)A-M</t>
  </si>
  <si>
    <t>导流件IV(316)DL2-M</t>
  </si>
  <si>
    <t>导流件Ⅳ隔板(316)DL2-M</t>
  </si>
  <si>
    <t>密封压片(316)DL(4～5)A-M</t>
  </si>
  <si>
    <t>密封压盖(316)DL(4～5)A-M</t>
  </si>
  <si>
    <t>导流筒加强件(316)DL10-M</t>
  </si>
  <si>
    <t>密封压盖（无凸点）DL(8～12)A</t>
  </si>
  <si>
    <t>轴套ⅠDL2-φ13*φ15*6.7</t>
  </si>
  <si>
    <t>轴套ⅠDL10-φ17.55*φ21.5*6.5</t>
  </si>
  <si>
    <t>轴套Ⅱ(316)DL2-φ13*φ15*7.33-M</t>
  </si>
  <si>
    <t>轴套Ⅱ(316)DL4-φ13*φ15*16.03-M</t>
  </si>
  <si>
    <t>轴套Ⅱ(316)DL15-M(10.73)</t>
  </si>
  <si>
    <t>轴套ⅢDL2-φ13*φ15*17.33</t>
  </si>
  <si>
    <t>轴套ⅢDL10-φ17.5*φ20.5*9.73</t>
  </si>
  <si>
    <t>轴套ⅢDL4-φ13*φ15*26.03</t>
  </si>
  <si>
    <t>轴套Ⅲ(316)DL4-φ13*φ15*26.03-M</t>
  </si>
  <si>
    <t>轴套Ⅲ(316)DL2-φ13*φ15*17.33-M</t>
  </si>
  <si>
    <t>轴套Ⅲ(316)DL10-φ17.5*φ20.5*9.73-M</t>
  </si>
  <si>
    <t>轴套Ⅲ(316)DL15-M(19.03)</t>
  </si>
  <si>
    <t>轴套ⅡDW(S)5-φ13*φ15*17.03</t>
  </si>
  <si>
    <t>轴套ⅣDW2(12.63)</t>
  </si>
  <si>
    <t>轴套ⅣDW4-φ13*φ15*13.43</t>
  </si>
  <si>
    <t>轴套ⅣDL10-φ17.5*φ20.5*29.23</t>
  </si>
  <si>
    <t>轴套ⅣDL15(43.73)</t>
  </si>
  <si>
    <t>轴套Ⅳ(316)DL15-M(43.73)</t>
  </si>
  <si>
    <t>轴套ⅤDW16(16.7)</t>
  </si>
  <si>
    <t>定位轴套(316)DL2A-M</t>
  </si>
  <si>
    <t>定位轴套(316)DL10A-φ17.55*φ21.5*6.5-M</t>
  </si>
  <si>
    <t>扣片DW2-20 DW2-40(L=22.5)</t>
  </si>
  <si>
    <t>拉紧带扣片DW2-30-40.5</t>
  </si>
  <si>
    <t>焊接扣片DL2-180 (L=45)</t>
  </si>
  <si>
    <t>焊接扣片(316)DL2-180-M (L=45)</t>
  </si>
  <si>
    <t>拉紧带DL1-170-257 DL2-170-257 DL4-120-257 DL5-120-257</t>
  </si>
  <si>
    <t>拉紧带DL10-30(L=108)</t>
  </si>
  <si>
    <t>拉紧带DL10-70-229</t>
  </si>
  <si>
    <t>拉紧带DL10-220-682</t>
  </si>
  <si>
    <t>拉紧带DL64-50-419</t>
  </si>
  <si>
    <t>拉紧带DL90-40-372</t>
  </si>
  <si>
    <t>拉紧带DL3-290-472</t>
  </si>
  <si>
    <t>拉紧带(316)DL4-60-94.5-M</t>
  </si>
  <si>
    <t>拉紧带(316)DL10-100-M (L=320)</t>
  </si>
  <si>
    <t>拉紧带(316)DL10-220-682-M</t>
  </si>
  <si>
    <t>拉紧带DL4-100-203-M</t>
  </si>
  <si>
    <t>拉紧带(316)DL3-290-472-M</t>
  </si>
  <si>
    <t>拉紧带(316)DL10-60-M(L=199)</t>
  </si>
  <si>
    <t>拉紧带(316)DL4-290-716-M</t>
  </si>
  <si>
    <t>拉紧带(316)DL10-120-M(L=380)</t>
  </si>
  <si>
    <t>拉紧带(316)DL2-70-76-M</t>
  </si>
  <si>
    <t>导叶前盖WB2-70/150 ASP2-120/2.2 ASP2-120/300</t>
  </si>
  <si>
    <t>导叶后盖WB2-70/150 ASP2-120/300</t>
  </si>
  <si>
    <t>导叶盘体WB2-70</t>
  </si>
  <si>
    <t>导叶盘WB2-70</t>
  </si>
  <si>
    <t>反导叶片WB2-70/150 ASP2-120</t>
  </si>
  <si>
    <t>不锈钢冲压法兰DN32</t>
  </si>
  <si>
    <t>不锈钢冲压法兰DN40</t>
  </si>
  <si>
    <t>不锈钢冲压法兰（椭圆孔）DN50</t>
  </si>
  <si>
    <t>不锈钢冲压法兰（椭圆孔）DN65</t>
  </si>
  <si>
    <t>不锈钢冲压法兰（4圆孔）DN80</t>
  </si>
  <si>
    <t>不锈钢冲压法兰DN100</t>
  </si>
  <si>
    <t>不锈钢冲压法兰DN100-10-G4＂(借用DN100不锈钢冲压法兰机加工而成)</t>
  </si>
  <si>
    <t>不锈钢冲压法兰（大卫）DN40-G1-1/2-CS(借用DN40不锈钢冲压法兰机加工而成)</t>
  </si>
  <si>
    <t>不锈钢冲压法兰（大卫）DN50-G2-CS(借用DN50不锈钢冲压法兰机加工而成)</t>
  </si>
  <si>
    <t>不锈钢冲压法兰（大卫）DN65-G2-1/2-CS(借用DN65不锈钢冲压法兰机加工而成)</t>
  </si>
  <si>
    <t>不锈钢冲压法兰（利欧）NPS50-NPT2-LEO(借用DN50不锈钢冲压法兰机加工而成)</t>
  </si>
  <si>
    <t>不锈钢冲压法兰（利欧）NPS65-NPT2-1/2-LEO(借用DN65不锈钢冲压法兰机加工而成)</t>
  </si>
  <si>
    <t>不锈钢冲压法兰（大卫）DN32-G1-1/4-CS(借用DN32不锈钢冲压法兰机加工而成)</t>
  </si>
  <si>
    <t>不锈钢冲压法兰（利欧，4个长形孔）DN80-G3-LEO(借用4个圆孔DN80不锈钢冲压法兰激光切割)</t>
  </si>
  <si>
    <t>不锈钢冲压法兰(316)DN32-M</t>
  </si>
  <si>
    <t>不锈钢冲压法兰(316)DN40-M</t>
  </si>
  <si>
    <t>不锈钢冲压法兰(316)（椭圆孔）DN50-M</t>
  </si>
  <si>
    <t>不锈钢冲压法兰(316)（椭圆孔）DN65-M</t>
  </si>
  <si>
    <t>不锈钢冲压法兰（4圆孔）(316)DN80-M</t>
  </si>
  <si>
    <t>不锈钢冲压法兰(316)DN100-M</t>
  </si>
  <si>
    <t>不锈钢冲压法兰(316)DN25-M</t>
  </si>
  <si>
    <t>不锈钢冲压法兰(316)DN32-NPT1-1/4-M(借用DN32-M不锈钢冲压法兰机加工而成)</t>
  </si>
  <si>
    <t>不锈钢冲压法兰（大卫,316）DN40-G1-1/2-CS-M(借用DN40-M不锈钢冲压法兰机加工而成)</t>
  </si>
  <si>
    <t>不锈钢冲压法兰（利欧,316）NPS50-NPT2-LEO-M(借用DN50-M不锈钢冲压法兰机加工而成)</t>
  </si>
  <si>
    <t>不锈钢冲压法兰（利欧，316）NPS65-NPT2-1/2-LEO-M(借用DN65-M不锈钢冲压法兰机加工而成)</t>
  </si>
  <si>
    <t>不锈钢冲压法兰（利欧，316，4个长形孔）DN80-G3-LEO-M(借用4个圆孔DN80-M不锈钢冲压法兰激光切割)</t>
  </si>
  <si>
    <t>不锈钢冲压法兰（316）DN100-10-G4＂-M(借用DN100-M不锈钢冲压法兰机加工而成)</t>
  </si>
  <si>
    <t>不锈钢冲压法兰（8孔椭圆孔）DN80</t>
  </si>
  <si>
    <t>不锈钢冲压法兰（8孔椭圆孔）DN100</t>
  </si>
  <si>
    <t>不锈钢冲压法兰（8孔椭圆孔）(316)DN80-M</t>
  </si>
  <si>
    <t>不锈钢冲压法兰（8孔椭圆孔）(316)DN100-M</t>
  </si>
  <si>
    <t>DL联接盘垫板(机加工)DL4-B14-B5-132</t>
  </si>
  <si>
    <t>DZA(S)联接盘(深蓝PMS288C漆)DZA(S)-295-160</t>
  </si>
  <si>
    <t>拉杆组件(花浪)（喷RAL7015深灰色漆）PPL64-20 PPL65-20(L=379)</t>
  </si>
  <si>
    <t>电机底座(冲压)（南京好机汇）DW(D)-71-22-HJH</t>
  </si>
  <si>
    <t>304底座(冲压)大卫CS32125-1.1/3 CS32160-1.5/3 CS32160-2.2/3(460*330*40)</t>
  </si>
  <si>
    <t>304底座(冲压)大卫CS32200-3.0/3 CS40160-3.0/3 CS50125-3.0/3(520*350*40)</t>
  </si>
  <si>
    <t>304底座(冲压)大卫CS32200-4.0/3 CS40160-4.0/3 CS50125-4.0/3(520*350*40)</t>
  </si>
  <si>
    <t>304底座(冲压)大卫CS40200-7.5/3 CS40200-5.5/3 CS50160-5.5/3 CS50160-7.5/3 CS50200-9.2/3(620*400*40)</t>
  </si>
  <si>
    <t>护板(冲压)B90-125(160)A</t>
  </si>
  <si>
    <t>护板(冲压)B100-160(200)A</t>
  </si>
  <si>
    <t>护板(冲压)B132-160A</t>
  </si>
  <si>
    <t>护板(冲压)B132-200(230)A</t>
  </si>
  <si>
    <t>护板(冲压)DZA(S)-276-160</t>
  </si>
  <si>
    <t>护板(冲压)DZA(S)-295-200</t>
  </si>
  <si>
    <t>左护板DL2-B14-71/80</t>
  </si>
  <si>
    <t>左护板DL2-B14-90（DL2-B14-100）</t>
  </si>
  <si>
    <t>左护板(有缺口)DL10-B14-90</t>
  </si>
  <si>
    <t>左护板(有缺口)DL10-B14-112</t>
  </si>
  <si>
    <t>右护板(有缺口)DL2-B14-71/80</t>
  </si>
  <si>
    <t>右护板(有缺口)DL2-B14-90（DL2-B14-100）</t>
  </si>
  <si>
    <t>右护板(有缺口)DL4-B14-132</t>
  </si>
  <si>
    <t>右护板DL10-B14-90</t>
  </si>
  <si>
    <t>右护板DL10-B14-112</t>
  </si>
  <si>
    <t>护板(冲压)WB-80-210</t>
  </si>
  <si>
    <t>护板(冲压)WB-80-232</t>
  </si>
  <si>
    <t>护板GZA(S)-90-125</t>
  </si>
  <si>
    <t>护板GZA(S)-90-160</t>
  </si>
  <si>
    <t>护板GZA(S)-132-200</t>
  </si>
  <si>
    <t>护板GZA(S)-132-160</t>
  </si>
  <si>
    <t>护板GZA(S)-160-200</t>
  </si>
  <si>
    <t>护板（禁用）GZA(S)-276-132</t>
  </si>
  <si>
    <t>护板（新）GZA(S)-276-132</t>
  </si>
  <si>
    <t>护板(冲压)BK-190-80</t>
  </si>
  <si>
    <t>口环压盖GZA(S)100-80-200(DIN)</t>
  </si>
  <si>
    <t>浮动密封环(切断)（福建华塑）GZA(S)50-φ55.1*φ75*5（HS403G4-BK100)</t>
  </si>
  <si>
    <t>浮动密封环(切断)（福建华塑）GZA(S)65-φ67.3*φ85*6（HS403G4-BK100)</t>
  </si>
  <si>
    <t>浮动密封环(切断)（福建华塑）GZA(S)80-φ72.4*φ93*6（HS403G4-BK100)</t>
  </si>
  <si>
    <t>口环压盖GZA(S)50-32-200</t>
  </si>
  <si>
    <t>口环支架导流件GZA(S)50-32-200</t>
  </si>
  <si>
    <t>口环压盖(316)GZA(S)50-32-200-M</t>
  </si>
  <si>
    <t>口环支架导流件(316)GZA(S)50-32-200-M</t>
  </si>
  <si>
    <t>口环压盖(316)GZA(S)100-80-200(DIN)-M</t>
  </si>
  <si>
    <t>口环支架导流件GZA(S)65-40-200</t>
  </si>
  <si>
    <t>口环支架导流件(316)GZA(S)65-40-200-M</t>
  </si>
  <si>
    <t>口环压盖GZA(S)65-40-200</t>
  </si>
  <si>
    <t>口环压盖(316)GZA(S)65-40-200-M</t>
  </si>
  <si>
    <t>定位圈ⅠWB2-70</t>
  </si>
  <si>
    <t>定位圈ⅡWB2-70</t>
  </si>
  <si>
    <t>叶轮压盖WB50-φ8.2*φ13.5*2</t>
  </si>
  <si>
    <t>浮动密封环(切断)（福建华塑）WB70-φ37.5*φ52.6*4（HS403G4-BK100)</t>
  </si>
  <si>
    <t>口环压盖WB70</t>
  </si>
  <si>
    <t>浮动密封环(切断)（福建华塑）WB200-φ47.5*φ63*4（HS403G4-BK100)</t>
  </si>
  <si>
    <t>凹形垫圈SZ037B-φ10.1*φ14.3*3.3</t>
  </si>
  <si>
    <t>灌排水孔螺母(坯件)(304)SZ037-M10*1.25*2.5</t>
  </si>
  <si>
    <t>灌排水孔螺母(坯件)(316)SZ037-M10*1.25*2.5-M</t>
  </si>
  <si>
    <t>抱箍DW(K)2-60/075</t>
  </si>
  <si>
    <t>抱箍DW(K)8-50/180</t>
  </si>
  <si>
    <t>导流筒压盖DW2-30/037</t>
  </si>
  <si>
    <t>压盖DW8 DW16</t>
  </si>
  <si>
    <t>机械密封垫片DW2</t>
  </si>
  <si>
    <t>蜗盖支撑件(316)DL(8～20)A-M</t>
  </si>
  <si>
    <t>机械密封垫片DW(D)5-φ13*φ24*1.0</t>
  </si>
  <si>
    <t>排水孔螺塞挡板DL2</t>
  </si>
  <si>
    <t>排水孔螺塞挡片DL2</t>
  </si>
  <si>
    <t>限位垫片DL10</t>
  </si>
  <si>
    <t>浮动密封环（切断）（福建华塑）DL4-φ41.13*φ53*3.5（HS403G4-BK100)</t>
  </si>
  <si>
    <t>排水孔螺塞挡板(316)DL2-M</t>
  </si>
  <si>
    <t>排水孔螺塞挡片(316)DL2-M</t>
  </si>
  <si>
    <t>限位垫片(316)DL10-M</t>
  </si>
  <si>
    <t>机械密封罩(配PB20Y机械密封)BK150、BK200、BK300、BK400</t>
  </si>
  <si>
    <t>机械密封罩(配PB20Y机械密封)BK120 BK100</t>
  </si>
  <si>
    <t>机械密封罩(316，配PB20Y机械密封)BK100-M BK120-M</t>
  </si>
  <si>
    <t>机械密封罩(316，配PB20Y机械密封)BK150-M、BK200-M、BK300-M、BK400-M</t>
  </si>
  <si>
    <t>机械密封罩（配TF3Z机械密封）BK150、BK200、BK300、BK400</t>
  </si>
  <si>
    <t>机械密封罩(316，配TF3Z机械密封)BK150-M、BK200-M、BK300-M、BK400-M</t>
  </si>
  <si>
    <t>内筒GD40</t>
  </si>
  <si>
    <t>内筒GD50</t>
  </si>
  <si>
    <t>内筒加强件GD40（GD50）</t>
  </si>
  <si>
    <t>底环WQ15-7-1.1D</t>
  </si>
  <si>
    <t>电缆固定片WQ15-7-1.1D</t>
  </si>
  <si>
    <t>排气孔挡片WQ15-7-1.1D</t>
  </si>
  <si>
    <t>上盖（三相）WQ20-14-2.2</t>
  </si>
  <si>
    <t>支撑环WQ15-7-1.1D</t>
  </si>
  <si>
    <t>提手(单相)（新）WQ15-7-1.1D</t>
  </si>
  <si>
    <t>金属风叶叶片(大卫）11757-30</t>
  </si>
  <si>
    <t>齿轮支架(大卫，冲压）Q947536</t>
  </si>
  <si>
    <t>波形弹性垫圈HM80-08-φ45*φ51.8*2.1</t>
  </si>
  <si>
    <t>平面垫圈M6*φ14*2(304)</t>
  </si>
  <si>
    <t>波形弹性垫圈WB70-φ40*φ46*2.5</t>
  </si>
  <si>
    <t>波形弹性垫圈GZA(S)50-φ60.4*φ71*3</t>
  </si>
  <si>
    <t>波形弹性垫圈GZA(S)65-φ72*φ83*3</t>
  </si>
  <si>
    <t>平面垫圈φ8.2*φ16*0.8</t>
  </si>
  <si>
    <t>平面垫圈M6*φ12.5*1.2</t>
  </si>
  <si>
    <t>风叶插销YY/YS/YE2-63/71/80</t>
  </si>
  <si>
    <t>风叶插销YE3-90/100/112</t>
  </si>
  <si>
    <t>大卫轴承垫(冲压)11953-1</t>
  </si>
  <si>
    <t>水位挡板（北京特龙）8FF-0912-2508G-SX</t>
  </si>
  <si>
    <t>水箱前板（北京特龙）8FF-0912-2508G-SX</t>
  </si>
  <si>
    <t>水箱后板（北京特龙）8FF-0912-2508G-SX</t>
  </si>
  <si>
    <t>水箱箱体底板（北京特龙）8FF-0912-2508G-SX</t>
  </si>
  <si>
    <t>水箱盖（北京特龙）8FF-0912-2508G-SX</t>
  </si>
  <si>
    <t>水箱（北京特龙，焊接件）8FF-0912-2508G-SX</t>
  </si>
  <si>
    <t>2#电机垫脚支座(冲压)DZA(S)-90L-42-2#</t>
  </si>
  <si>
    <t>3#电机垫脚支座(冲压)DZA(S)-100-60-3#</t>
  </si>
  <si>
    <t>4#电机垫脚支座(冲压)DZA(S)-112-48-4#</t>
  </si>
  <si>
    <t>5#电机垫脚支座(冲压)DZA(S)-100-32-5#</t>
  </si>
  <si>
    <t>6#电机垫脚支座(冲压)DZA(S)-112-20-6#</t>
  </si>
  <si>
    <t>7#电机垫脚支座(冲压)DZA(S)-132S-28-7#</t>
  </si>
  <si>
    <t>9#电机垫脚支座(冲压)DZA(S)-132M-28-9#</t>
  </si>
  <si>
    <t>10#电机垫脚支座(冲压)DZA(S)-90S-32-10#</t>
  </si>
  <si>
    <t>11#电机垫脚支座(冲压)DZA(S)-90S-22-11#</t>
  </si>
  <si>
    <t>12#电机垫脚支座(冲压)DZA(S)-160M-20-12#</t>
  </si>
  <si>
    <t>13#电机垫脚支座(冲压)DZA(S)-160L-20-13#</t>
  </si>
  <si>
    <t>2#电机垫脚安装片(冲压)DZA(S)-90L-42-2#</t>
  </si>
  <si>
    <t>5#电机垫脚安装片(冲压)DZA(S)-100-32-5#</t>
  </si>
  <si>
    <t>7#电机垫脚垫片(冲压)DZA(S)-132S-28-7#</t>
  </si>
  <si>
    <t>10#电机垫脚安装片(冲压)DZA(S)-90S-32-10#</t>
  </si>
  <si>
    <t>11#电机垫脚安装片(冲压)DZA(S)-90S-22-11#</t>
  </si>
  <si>
    <t>12#电机垫脚垫片(冲压)DZA(S)-160M-20-12#</t>
  </si>
  <si>
    <t>9#电机垫脚(焊接)DZA(S)-132M-28-9#</t>
  </si>
  <si>
    <t>10#电机垫脚(焊接)DZA(S)-90S-32-10#</t>
  </si>
  <si>
    <t>11#电机垫脚(焊接)DZA(S)-90S-22-11#</t>
  </si>
  <si>
    <t>13#电机垫脚(焊接)DZA(S)-160L-20-13#</t>
  </si>
  <si>
    <t>2#电机垫脚垫片(冲压)DZA(S)-90L-42-2#</t>
  </si>
  <si>
    <t>3#电机垫脚垫片(冲压)DZA(S)-100-60-3#</t>
  </si>
  <si>
    <t>6#电机垫脚垫片(冲压)DZA(S)-112-20-6#</t>
  </si>
  <si>
    <t>5#电机垫脚垫片(冲压)DZA(S)-100-32-5#</t>
  </si>
  <si>
    <t>10#电机垫脚垫片(冲压)DZA(S)-90S-32-10#</t>
  </si>
  <si>
    <t>11#电机垫脚垫片(冲压)DZA(S)-90S-22-11#</t>
  </si>
  <si>
    <t>8#电机垫脚支座(冲压)DZA(S)-90L-70-8#</t>
  </si>
  <si>
    <t>16#电机垫脚支座(冲压)DZA(S)-80-52-16#</t>
  </si>
  <si>
    <t>17#电机垫脚支座(冲压)DZA(S)-80-80-17#</t>
  </si>
  <si>
    <t>18#电机垫脚支座(冲压)(南京好机汇)DZA(S)-132M-28-18#-HJH</t>
  </si>
  <si>
    <t>18#电机垫脚(焊接)(南京好机汇)DZA(S)-132M-28-18#-HJH</t>
  </si>
  <si>
    <t>20#电机垫脚支座(冲压)(上海享大)DZA(S)-90L-22-20#-XD</t>
  </si>
  <si>
    <t>20#电机垫脚安装片(冲压)(上海享大)DZA(S)-90L-22-20#-XD</t>
  </si>
  <si>
    <t>19#电机垫脚支座(冲压)GZA(S)-132-20-19#</t>
  </si>
  <si>
    <t>电机冲压铁脚GZA(S)(240B)-90</t>
  </si>
  <si>
    <t>电机冲压铁脚GZA(S)(240B)-100</t>
  </si>
  <si>
    <t>电机冲压铁脚GZA(S)(290B)-100</t>
  </si>
  <si>
    <t>电机冲压铁脚GZA(S)(205B)-90</t>
  </si>
  <si>
    <t>电机冲压铁脚支座GZA(S)(290B)-112</t>
  </si>
  <si>
    <t>电机冲压铁脚垫片GZA(S)(290B)-112</t>
  </si>
  <si>
    <t>底座(冲压)WB-90-210-18</t>
  </si>
  <si>
    <t>电机冲压铁脚支座BK(230B)-112</t>
  </si>
  <si>
    <t>电机铝前端盖(冲压冲窗)DW(168A)-80</t>
  </si>
  <si>
    <t>电机机壳WQ(141A)-YY8022/1.1kW、WQ(141A)-YSC8022/1.1kW(IE2)(L=235)</t>
  </si>
  <si>
    <t>电机机壳WQ(141A)-YY8032/1.5kW、WQ(141A)-YSC8032/1.5kW(IE2)、WQ(141A)-YSC8022/1.1kW(IE3)(L=255)</t>
  </si>
  <si>
    <t>电机机壳WQ(141A)-YY8042/2.2kW、WQ(141A)-YSC8042/2.2kW(IE2)、WQ(141A)-YSC8032/1.5kW(IE3)(L=290)</t>
  </si>
  <si>
    <t>电机机壳WQ(141A)-YSC8052/3.0kW(IE2)、WQ(141A)-YSC8042/2.2kW(IE3)(L=315)</t>
  </si>
  <si>
    <t>风罩(冲压)YE2-90</t>
  </si>
  <si>
    <t>风罩(冲压)YE2-100</t>
  </si>
  <si>
    <t>电机铁风罩(冲压)112-L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</si>
</sst>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\ hh:mm"/>
    <numFmt numFmtId="178" formatCode="yyyy\-mm\-dd"/>
  </numFmts>
  <fonts count="43">
    <font>
      <sz val="11"/>
      <color theme="1"/>
      <name val="Calibri"/>
      <charset val="1"/>
    </font>
    <font>
      <b/>
      <sz val="14"/>
      <color rgb="FFFFFFFF"/>
      <name val="Noto Sans CJK SC"/>
      <charset val="134"/>
    </font>
    <font>
      <sz val="10"/>
      <name val="Noto Sans CJK SC"/>
      <charset val="134"/>
    </font>
    <font>
      <sz val="10"/>
      <name val="微软雅黑"/>
      <charset val="1"/>
    </font>
    <font>
      <sz val="9"/>
      <color rgb="FF44546A"/>
      <name val="Noto Sans CJK SC"/>
      <charset val="134"/>
    </font>
    <font>
      <b/>
      <sz val="10"/>
      <color rgb="FFFFFFFF"/>
      <name val="Noto Sans CJK SC"/>
      <charset val="134"/>
    </font>
    <font>
      <sz val="10"/>
      <color rgb="FF000000"/>
      <name val="Noto Sans CJK SC"/>
      <charset val="134"/>
    </font>
    <font>
      <b/>
      <sz val="10"/>
      <color rgb="FF2F5597"/>
      <name val="Noto Sans CJK SC"/>
      <charset val="134"/>
    </font>
    <font>
      <b/>
      <sz val="10"/>
      <color rgb="FF2F5597"/>
      <name val="微软雅黑"/>
      <charset val="1"/>
    </font>
    <font>
      <b/>
      <sz val="11"/>
      <color rgb="FF2F5597"/>
      <name val="Noto Sans CJK SC"/>
      <charset val="134"/>
    </font>
    <font>
      <sz val="10"/>
      <color theme="1"/>
      <name val="微软雅黑"/>
      <charset val="1"/>
    </font>
    <font>
      <sz val="11"/>
      <color theme="1"/>
      <name val="宋体"/>
      <charset val="1"/>
    </font>
    <font>
      <b/>
      <sz val="10"/>
      <color rgb="FFFFFFFF"/>
      <name val="微软雅黑"/>
      <charset val="1"/>
    </font>
    <font>
      <sz val="10"/>
      <color theme="1"/>
      <name val="宋体"/>
      <charset val="1"/>
    </font>
    <font>
      <sz val="10"/>
      <color theme="1"/>
      <name val="Calibri"/>
      <charset val="1"/>
    </font>
    <font>
      <sz val="10"/>
      <color rgb="FFD6E2F5"/>
      <name val="Noto Sans CJK SC"/>
      <charset val="134"/>
    </font>
    <font>
      <sz val="10"/>
      <color rgb="FF44546A"/>
      <name val="Noto Sans CJK SC"/>
      <charset val="134"/>
    </font>
    <font>
      <b/>
      <sz val="20"/>
      <color rgb="FF2F5597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微软雅黑"/>
      <charset val="134"/>
    </font>
    <font>
      <sz val="10"/>
      <color rgb="FF44546A"/>
      <name val="微软雅黑"/>
      <charset val="1"/>
    </font>
    <font>
      <sz val="10"/>
      <color rgb="FFD6E2F5"/>
      <name val="微软雅黑"/>
      <charset val="1"/>
    </font>
    <font>
      <sz val="9"/>
      <color rgb="FF44546A"/>
      <name val="微软雅黑"/>
      <charset val="1"/>
    </font>
  </fonts>
  <fills count="38">
    <fill>
      <patternFill patternType="none"/>
    </fill>
    <fill>
      <patternFill patternType="gray125"/>
    </fill>
    <fill>
      <patternFill patternType="solid">
        <fgColor rgb="FF2F5597"/>
        <bgColor rgb="FF1F4E79"/>
      </patternFill>
    </fill>
    <fill>
      <patternFill patternType="solid">
        <fgColor rgb="FFFFF2CC"/>
        <bgColor rgb="FFF9F9F9"/>
      </patternFill>
    </fill>
    <fill>
      <patternFill patternType="solid">
        <fgColor rgb="FF4472C4"/>
        <bgColor rgb="FF4F81BD"/>
      </patternFill>
    </fill>
    <fill>
      <patternFill patternType="solid">
        <fgColor rgb="FFEAF0FA"/>
        <bgColor rgb="FFDDEBF7"/>
      </patternFill>
    </fill>
    <fill>
      <patternFill patternType="solid">
        <fgColor rgb="FFD9E2F3"/>
        <bgColor rgb="FFD6E2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Border="0" applyAlignment="0" applyProtection="0"/>
    <xf numFmtId="44" fontId="18" fillId="0" borderId="0" applyBorder="0" applyAlignment="0" applyProtection="0"/>
    <xf numFmtId="9" fontId="18" fillId="0" borderId="0" applyBorder="0" applyAlignment="0" applyProtection="0"/>
    <xf numFmtId="41" fontId="18" fillId="0" borderId="0" applyBorder="0" applyAlignment="0" applyProtection="0"/>
    <xf numFmtId="42" fontId="18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5" applyNumberFormat="0" applyAlignment="0" applyProtection="0">
      <alignment vertical="center"/>
    </xf>
    <xf numFmtId="0" fontId="29" fillId="9" borderId="6" applyNumberFormat="0" applyAlignment="0" applyProtection="0">
      <alignment vertical="center"/>
    </xf>
    <xf numFmtId="0" fontId="30" fillId="9" borderId="5" applyNumberFormat="0" applyAlignment="0" applyProtection="0">
      <alignment vertical="center"/>
    </xf>
    <xf numFmtId="0" fontId="31" fillId="10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4" fillId="0" borderId="0" xfId="0" applyFont="1"/>
    <xf numFmtId="9" fontId="3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0" fontId="9" fillId="5" borderId="0" xfId="0" applyFont="1" applyFill="1" applyBorder="1" applyAlignment="1">
      <alignment horizontal="left" vertical="center" wrapText="1"/>
    </xf>
    <xf numFmtId="177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176" fontId="17" fillId="0" borderId="0" xfId="0" applyNumberFormat="1" applyFont="1" applyBorder="1" applyAlignment="1">
      <alignment horizontal="center" vertical="center" wrapText="1"/>
    </xf>
    <xf numFmtId="3" fontId="17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1F4E79"/>
      </font>
      <fill>
        <patternFill patternType="solid">
          <bgColor rgb="FFDDEBF7"/>
        </patternFill>
      </fill>
    </dxf>
    <dxf>
      <font>
        <b val="1"/>
        <color rgb="FF5B2D8E"/>
      </font>
      <fill>
        <patternFill patternType="solid">
          <bgColor rgb="FFE4DFEC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006100"/>
      </font>
    </dxf>
    <dxf>
      <font>
        <b val="1"/>
        <color rgb="FF9C0006"/>
      </font>
    </dxf>
    <dxf>
      <font>
        <b val="1"/>
        <color rgb="FF9C65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BFBFBF"/>
      <rgbColor rgb="00878787"/>
      <rgbColor rgb="009999FF"/>
      <rgbColor rgb="007030A0"/>
      <rgbColor rgb="00FFF2CC"/>
      <rgbColor rgb="00DDEBF7"/>
      <rgbColor rgb="00660066"/>
      <rgbColor rgb="00FF8080"/>
      <rgbColor rgb="002F5597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F0FA"/>
      <rgbColor rgb="00C6EFCE"/>
      <rgbColor rgb="00FFEB9C"/>
      <rgbColor rgb="00D6E2F5"/>
      <rgbColor rgb="00D9E2F3"/>
      <rgbColor rgb="00E4DFEC"/>
      <rgbColor rgb="00FFC7CE"/>
      <rgbColor rgb="004472C4"/>
      <rgbColor rgb="0033CCCC"/>
      <rgbColor rgb="0099CC00"/>
      <rgbColor rgb="00FFCC00"/>
      <rgbColor rgb="00FF9900"/>
      <rgbColor rgb="00ED7D31"/>
      <rgbColor rgb="004F81BD"/>
      <rgbColor rgb="00A6A6A6"/>
      <rgbColor rgb="001F4E79"/>
      <rgbColor rgb="0070AD47"/>
      <rgbColor rgb="00003300"/>
      <rgbColor rgb="00333300"/>
      <rgbColor rgb="00993300"/>
      <rgbColor rgb="00993366"/>
      <rgbColor rgb="005B2D8E"/>
      <rgbColor rgb="004454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03" dbFileVersion="0" changeLogVersion="0">
    <open main="82" threadCnt="1"/>
    <sheetInfos>
      <sheetInfo cellCmpFml="39" sheetStid="1">
        <open main="13" threadCnt="1"/>
      </sheetInfo>
      <sheetInfo cellCmpFml="50" sheetStid="2">
        <open main="2" threadCnt="1"/>
      </sheetInfo>
      <sheetInfo cellCmpFml="68" sheetStid="3">
        <open main="3" threadCnt="1"/>
      </sheetInfo>
      <sheetInfo cellCmpFml="40" sheetStid="4">
        <open main="2" threadCnt="1"/>
      </sheetInfo>
      <sheetInfo cellCmpFml="19" sheetStid="5">
        <open main="1" threadCnt="1"/>
      </sheetInfo>
      <sheetInfo cellCmpFml="87" sheetStid="6">
        <open main="2" threadCnt="1"/>
      </sheetInfo>
      <sheetInfo cellCmpFml="0" sheetStid="7">
        <open main="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woinfos" Target="woinfos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各车间当班产量 vs 计划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汇总!$I$2</c:f>
              <c:strCache>
                <c:ptCount val="1"/>
                <c:pt idx="0">
                  <c:v>当班产量(件)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汇总!$A$3:$A$5</c:f>
              <c:strCache>
                <c:ptCount val="3"/>
                <c:pt idx="0">
                  <c:v>一号冲压车间</c:v>
                </c:pt>
                <c:pt idx="1">
                  <c:v>二号冲压车间</c:v>
                </c:pt>
                <c:pt idx="2">
                  <c:v>三号焊接车间</c:v>
                </c:pt>
              </c:strCache>
            </c:strRef>
          </c:cat>
          <c:val>
            <c:numRef>
              <c:f>汇总!$I$3:$I$5</c:f>
              <c:numCache>
                <c:formatCode>#,##0</c:formatCode>
                <c:ptCount val="3"/>
                <c:pt idx="0">
                  <c:v>11120</c:v>
                </c:pt>
                <c:pt idx="1">
                  <c:v>14810</c:v>
                </c:pt>
                <c:pt idx="2">
                  <c:v>8040</c:v>
                </c:pt>
              </c:numCache>
            </c:numRef>
          </c:val>
        </c:ser>
        <c:ser>
          <c:idx val="1"/>
          <c:order val="1"/>
          <c:tx>
            <c:strRef>
              <c:f>汇总!$J$2</c:f>
              <c:strCache>
                <c:ptCount val="1"/>
                <c:pt idx="0">
                  <c:v>计划产量(件)</c:v>
                </c:pt>
              </c:strCache>
            </c:strRef>
          </c:tx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汇总!$A$3:$A$5</c:f>
              <c:strCache>
                <c:ptCount val="3"/>
                <c:pt idx="0">
                  <c:v>一号冲压车间</c:v>
                </c:pt>
                <c:pt idx="1">
                  <c:v>二号冲压车间</c:v>
                </c:pt>
                <c:pt idx="2">
                  <c:v>三号焊接车间</c:v>
                </c:pt>
              </c:strCache>
            </c:strRef>
          </c:cat>
          <c:val>
            <c:numRef>
              <c:f>汇总!$J$3:$J$5</c:f>
              <c:numCache>
                <c:formatCode>#,##0</c:formatCode>
                <c:ptCount val="3"/>
                <c:pt idx="0">
                  <c:v>13600</c:v>
                </c:pt>
                <c:pt idx="1">
                  <c:v>18600</c:v>
                </c:pt>
                <c:pt idx="2">
                  <c:v>10800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80"/>
        <c:overlap val="0"/>
        <c:axId val="36132439"/>
        <c:axId val="63768112"/>
      </c:barChart>
      <c:catAx>
        <c:axId val="36132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3768112"/>
        <c:crosses val="autoZero"/>
        <c:auto val="1"/>
        <c:lblAlgn val="ctr"/>
        <c:lblOffset val="100"/>
        <c:noMultiLvlLbl val="0"/>
      </c:catAx>
      <c:valAx>
        <c:axId val="6376811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产量(件)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6132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d1910f-0c0b-4c57-963a-79bab8d77f0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模具状态分布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汇总!$B$9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A6A6A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汇总!$A$10:$A$14</c:f>
              <c:strCache>
                <c:ptCount val="5"/>
                <c:pt idx="0">
                  <c:v>在用</c:v>
                </c:pt>
                <c:pt idx="1">
                  <c:v>待用</c:v>
                </c:pt>
                <c:pt idx="2">
                  <c:v>研磨中</c:v>
                </c:pt>
                <c:pt idx="3">
                  <c:v>维修复用</c:v>
                </c:pt>
                <c:pt idx="4">
                  <c:v>已报废</c:v>
                </c:pt>
              </c:strCache>
            </c:strRef>
          </c:cat>
          <c:val>
            <c:numRef>
              <c:f>汇总!$B$10:$B$14</c:f>
              <c:numCache>
                <c:formatCode>#,##0</c:formatCode>
                <c:ptCount val="5"/>
                <c:pt idx="0">
                  <c:v>12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69e950-79a0-476d-ac52-4c9496ee106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停机原因分类时长(min)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汇总!$C$18</c:f>
              <c:strCache>
                <c:ptCount val="1"/>
                <c:pt idx="0">
                  <c:v>总时长(min)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汇总!$A$19:$A$23</c:f>
              <c:strCache>
                <c:ptCount val="5"/>
                <c:pt idx="0">
                  <c:v>设备故障</c:v>
                </c:pt>
                <c:pt idx="1">
                  <c:v>计划保养</c:v>
                </c:pt>
                <c:pt idx="2">
                  <c:v>换模调机</c:v>
                </c:pt>
                <c:pt idx="3">
                  <c:v>待料</c:v>
                </c:pt>
                <c:pt idx="4">
                  <c:v>其他</c:v>
                </c:pt>
              </c:strCache>
            </c:strRef>
          </c:cat>
          <c:val>
            <c:numRef>
              <c:f>汇总!$C$19:$C$23</c:f>
              <c:numCache>
                <c:formatCode>#,##0</c:formatCode>
                <c:ptCount val="5"/>
                <c:pt idx="0">
                  <c:v>1150</c:v>
                </c:pt>
                <c:pt idx="1">
                  <c:v>720</c:v>
                </c:pt>
                <c:pt idx="2">
                  <c:v>620</c:v>
                </c:pt>
                <c:pt idx="3">
                  <c:v>1020</c:v>
                </c:pt>
                <c:pt idx="4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70"/>
        <c:overlap val="0"/>
        <c:axId val="56327669"/>
        <c:axId val="36728472"/>
      </c:barChart>
      <c:catAx>
        <c:axId val="563276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6728472"/>
        <c:crosses val="autoZero"/>
        <c:auto val="1"/>
        <c:lblAlgn val="ctr"/>
        <c:lblOffset val="100"/>
        <c:noMultiLvlLbl val="0"/>
      </c:catAx>
      <c:valAx>
        <c:axId val="36728472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63276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fe01991-a101-40c0-83d2-b8802cab58c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6</xdr:col>
      <xdr:colOff>538920</xdr:colOff>
      <xdr:row>29</xdr:row>
      <xdr:rowOff>93960</xdr:rowOff>
    </xdr:to>
    <xdr:graphicFrame>
      <xdr:nvGraphicFramePr>
        <xdr:cNvPr id="2" name="Chart 1"/>
        <xdr:cNvGraphicFramePr/>
      </xdr:nvGraphicFramePr>
      <xdr:xfrm>
        <a:off x="0" y="3733800"/>
        <a:ext cx="4739005" cy="295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15</xdr:col>
      <xdr:colOff>260835</xdr:colOff>
      <xdr:row>29</xdr:row>
      <xdr:rowOff>93960</xdr:rowOff>
    </xdr:to>
    <xdr:graphicFrame>
      <xdr:nvGraphicFramePr>
        <xdr:cNvPr id="3" name="Chart 2"/>
        <xdr:cNvGraphicFramePr/>
      </xdr:nvGraphicFramePr>
      <xdr:xfrm>
        <a:off x="6200775" y="3733800"/>
        <a:ext cx="3832225" cy="295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538920</xdr:colOff>
      <xdr:row>45</xdr:row>
      <xdr:rowOff>68760</xdr:rowOff>
    </xdr:to>
    <xdr:graphicFrame>
      <xdr:nvGraphicFramePr>
        <xdr:cNvPr id="4" name="Chart 3"/>
        <xdr:cNvGraphicFramePr/>
      </xdr:nvGraphicFramePr>
      <xdr:xfrm>
        <a:off x="0" y="6972300"/>
        <a:ext cx="4739005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</sheetPr>
  <dimension ref="A1:R13"/>
  <sheetViews>
    <sheetView showGridLines="0" workbookViewId="0">
      <selection activeCell="X23" sqref="X23"/>
    </sheetView>
  </sheetViews>
  <sheetFormatPr defaultColWidth="8.6" defaultRowHeight="15"/>
  <cols>
    <col min="1" max="1" width="14" customWidth="1"/>
    <col min="2" max="2" width="9" customWidth="1"/>
    <col min="3" max="3" width="8" customWidth="1"/>
    <col min="4" max="4" width="10" customWidth="1"/>
    <col min="5" max="5" width="9" customWidth="1"/>
    <col min="6" max="6" width="13" customWidth="1"/>
    <col min="7" max="7" width="9" customWidth="1"/>
    <col min="8" max="8" width="8" customWidth="1"/>
    <col min="9" max="9" width="13" customWidth="1"/>
    <col min="10" max="10" width="9" customWidth="1"/>
    <col min="11" max="11" width="3" customWidth="1"/>
    <col min="12" max="12" width="13" customWidth="1"/>
    <col min="13" max="13" width="9" customWidth="1"/>
    <col min="14" max="14" width="6.57142857142857" customWidth="1"/>
    <col min="15" max="15" width="13" customWidth="1"/>
    <col min="16" max="16" width="9" customWidth="1"/>
    <col min="17" max="17" width="5.28571428571429" customWidth="1"/>
  </cols>
  <sheetData>
    <row r="1" ht="33.75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9.5" customHeight="1" spans="1:18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4" ht="18" customHeight="1" spans="1:18">
      <c r="A4" s="37" t="s">
        <v>2</v>
      </c>
      <c r="B4" s="37"/>
      <c r="D4" s="37" t="s">
        <v>3</v>
      </c>
      <c r="E4" s="37"/>
      <c r="G4" s="37" t="s">
        <v>4</v>
      </c>
      <c r="H4" s="37"/>
      <c r="J4" s="37" t="s">
        <v>5</v>
      </c>
      <c r="K4" s="37"/>
      <c r="M4" s="37" t="s">
        <v>6</v>
      </c>
      <c r="N4" s="37"/>
      <c r="P4" s="37" t="s">
        <v>7</v>
      </c>
      <c r="Q4" s="37"/>
    </row>
    <row r="5" ht="30" customHeight="1" spans="1:18">
      <c r="A5" s="38">
        <f>汇总!H6</f>
        <v>0.5625</v>
      </c>
      <c r="B5" s="38"/>
      <c r="D5" s="38">
        <f>汇总!L6</f>
        <v>0.712261052983122</v>
      </c>
      <c r="E5" s="38"/>
      <c r="G5" s="39">
        <f>汇总!I6</f>
        <v>33970</v>
      </c>
      <c r="H5" s="39"/>
      <c r="J5" s="39">
        <f>汇总!B10</f>
        <v>12</v>
      </c>
      <c r="K5" s="39"/>
      <c r="M5" s="39">
        <f>汇总!E10</f>
        <v>5</v>
      </c>
      <c r="N5" s="39"/>
      <c r="P5" s="39">
        <f>汇总!C24</f>
        <v>3575</v>
      </c>
      <c r="Q5" s="39"/>
    </row>
    <row r="6" ht="24" customHeight="1" spans="1:18">
      <c r="A6" s="40" t="str">
        <f>"运行 "&amp;汇总!C6&amp;" / "&amp;汇总!B6&amp;" 台"</f>
        <v>运行 9 / 16 台</v>
      </c>
      <c r="B6" s="40"/>
      <c r="D6" s="40" t="str">
        <f>"在产 "&amp;COUNTIF(设备状态!$P$2:$P$16,"&gt;0")&amp;" 台均值 · 稼动×性能×良品"</f>
        <v>在产 14 台均值 · 稼动×性能×良品</v>
      </c>
      <c r="E6" s="40"/>
      <c r="G6" s="40" t="str">
        <f>"计划 "&amp;TEXT(汇总!J6,"#,##0")&amp;" 件 · 达成 "&amp;TEXT(汇总!K6,"0.0%")</f>
        <v>计划 43,000 件 · 达成 79.0%</v>
      </c>
      <c r="H6" s="40"/>
      <c r="J6" s="40" t="str">
        <f>"模具总数 "&amp;汇总!B15&amp;" 套"</f>
        <v>模具总数 19 套</v>
      </c>
      <c r="K6" s="40"/>
      <c r="M6" s="40" t="str">
        <f>"寿命占用 ≥90% 待研磨"</f>
        <v>寿命占用 ≥90% 待研磨</v>
      </c>
      <c r="N6" s="40"/>
      <c r="P6" s="40" t="str">
        <f>"停机 "&amp;汇总!B24&amp;" 次"</f>
        <v>停机 19 次</v>
      </c>
      <c r="Q6" s="40"/>
    </row>
    <row r="7" ht="27" customHeight="1"/>
    <row r="8" ht="21.75" customHeight="1" spans="1:18">
      <c r="A8" s="18" t="s">
        <v>8</v>
      </c>
      <c r="B8" s="18"/>
      <c r="C8" s="18"/>
      <c r="D8" s="18"/>
      <c r="E8" s="18"/>
      <c r="F8" s="18"/>
      <c r="G8" s="18"/>
    </row>
    <row r="9" ht="24" customHeight="1" spans="1:18">
      <c r="A9" s="8" t="s">
        <v>9</v>
      </c>
      <c r="B9" s="8" t="s">
        <v>10</v>
      </c>
      <c r="C9" s="8" t="s">
        <v>11</v>
      </c>
      <c r="D9" s="8" t="s">
        <v>12</v>
      </c>
      <c r="E9" s="12" t="s">
        <v>13</v>
      </c>
      <c r="F9" s="11" t="s">
        <v>14</v>
      </c>
      <c r="G9" s="12" t="s">
        <v>15</v>
      </c>
    </row>
    <row r="10" ht="16.5" spans="1:18">
      <c r="A10" s="9" t="str">
        <f>汇总!A3</f>
        <v>一号冲压车间</v>
      </c>
      <c r="B10" s="13">
        <f>汇总!B3</f>
        <v>6</v>
      </c>
      <c r="C10" s="13">
        <f>汇总!C3</f>
        <v>3</v>
      </c>
      <c r="D10" s="13">
        <f>汇总!F3</f>
        <v>1</v>
      </c>
      <c r="E10" s="14">
        <f>汇总!H3</f>
        <v>0.5</v>
      </c>
      <c r="F10" s="13">
        <f>汇总!I3</f>
        <v>11120</v>
      </c>
      <c r="G10" s="14">
        <f>汇总!K3</f>
        <v>0.817647058823529</v>
      </c>
    </row>
    <row r="11" ht="16.5" spans="1:18">
      <c r="A11" s="9" t="str">
        <f>汇总!A4</f>
        <v>二号冲压车间</v>
      </c>
      <c r="B11" s="13">
        <f>汇总!B4</f>
        <v>5</v>
      </c>
      <c r="C11" s="13">
        <f>汇总!C4</f>
        <v>3</v>
      </c>
      <c r="D11" s="13">
        <f>汇总!F4</f>
        <v>0</v>
      </c>
      <c r="E11" s="14">
        <f>汇总!H4</f>
        <v>0.6</v>
      </c>
      <c r="F11" s="13">
        <f>汇总!I4</f>
        <v>14810</v>
      </c>
      <c r="G11" s="14">
        <f>汇总!K4</f>
        <v>0.796236559139785</v>
      </c>
    </row>
    <row r="12" ht="16.5" spans="1:18">
      <c r="A12" s="9" t="str">
        <f>汇总!A5</f>
        <v>三号焊接车间</v>
      </c>
      <c r="B12" s="13">
        <f>汇总!B5</f>
        <v>5</v>
      </c>
      <c r="C12" s="13">
        <f>汇总!C5</f>
        <v>3</v>
      </c>
      <c r="D12" s="13">
        <f>汇总!F5</f>
        <v>1</v>
      </c>
      <c r="E12" s="14">
        <f>汇总!H5</f>
        <v>0.6</v>
      </c>
      <c r="F12" s="13">
        <f>汇总!I5</f>
        <v>8040</v>
      </c>
      <c r="G12" s="14">
        <f>汇总!K5</f>
        <v>0.744444444444444</v>
      </c>
    </row>
    <row r="13" ht="16.5" spans="1:18">
      <c r="A13" s="15" t="s">
        <v>16</v>
      </c>
      <c r="B13" s="41">
        <f>SUM(B10:B12)</f>
        <v>16</v>
      </c>
      <c r="C13" s="41">
        <f>SUM(C10:C12)</f>
        <v>9</v>
      </c>
      <c r="D13" s="41">
        <f>SUM(D10:D12)</f>
        <v>2</v>
      </c>
      <c r="E13" s="17">
        <f>IF($B13=0,"",$C13/$B13)</f>
        <v>0.5625</v>
      </c>
      <c r="F13" s="16">
        <f>SUM(F10:F12)</f>
        <v>33970</v>
      </c>
      <c r="G13" s="17">
        <f>汇总!K6</f>
        <v>0.79</v>
      </c>
    </row>
  </sheetData>
  <sheetProtection formatCells="0" formatColumns="0" formatRows="0" insertRows="0" insertColumns="0" insertHyperlinks="0" deleteColumns="0" deleteRows="0" sort="0" autoFilter="0" pivotTables="0"/>
  <mergeCells count="21">
    <mergeCell ref="A1:R1"/>
    <mergeCell ref="A2:R2"/>
    <mergeCell ref="A4:B4"/>
    <mergeCell ref="D4:E4"/>
    <mergeCell ref="G4:H4"/>
    <mergeCell ref="J4:K4"/>
    <mergeCell ref="M4:N4"/>
    <mergeCell ref="P4:Q4"/>
    <mergeCell ref="A5:B5"/>
    <mergeCell ref="D5:E5"/>
    <mergeCell ref="G5:H5"/>
    <mergeCell ref="J5:K5"/>
    <mergeCell ref="M5:N5"/>
    <mergeCell ref="P5:Q5"/>
    <mergeCell ref="A6:B6"/>
    <mergeCell ref="D6:E6"/>
    <mergeCell ref="G6:H6"/>
    <mergeCell ref="J6:K6"/>
    <mergeCell ref="M6:N6"/>
    <mergeCell ref="P6:Q6"/>
    <mergeCell ref="A8:G8"/>
  </mergeCells>
  <pageMargins left="0.75" right="0.75" top="1" bottom="1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pane ySplit="1" topLeftCell="A2" activePane="bottomLeft" state="frozen"/>
      <selection/>
      <selection pane="bottomLeft" activeCell="M21" sqref="M21"/>
    </sheetView>
  </sheetViews>
  <sheetFormatPr defaultColWidth="8.6" defaultRowHeight="15"/>
  <cols>
    <col min="1" max="1" width="6" style="34" customWidth="1"/>
    <col min="2" max="2" width="8" style="34" customWidth="1"/>
    <col min="3" max="3" width="11" style="34" customWidth="1"/>
    <col min="4" max="4" width="20" style="34" customWidth="1"/>
    <col min="5" max="5" width="14" style="34" customWidth="1"/>
    <col min="6" max="6" width="20.5714285714286" style="34" customWidth="1"/>
    <col min="7" max="7" width="14.7142857142857" style="34" customWidth="1"/>
    <col min="8" max="9" width="12" style="34" customWidth="1"/>
    <col min="10" max="10" width="9" style="34" customWidth="1"/>
    <col min="11" max="11" width="10" style="34" customWidth="1"/>
    <col min="12" max="12" width="9" style="34" customWidth="1"/>
    <col min="13" max="13" width="30" style="34" customWidth="1"/>
    <col min="14" max="16384" width="8.6" style="34"/>
  </cols>
  <sheetData>
    <row r="1" ht="25.5" customHeight="1" spans="1:13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14</v>
      </c>
      <c r="I1" s="8" t="s">
        <v>24</v>
      </c>
      <c r="J1" s="8" t="s">
        <v>15</v>
      </c>
      <c r="K1" s="8" t="s">
        <v>25</v>
      </c>
      <c r="L1" s="8" t="s">
        <v>26</v>
      </c>
      <c r="M1" s="8" t="s">
        <v>27</v>
      </c>
    </row>
    <row r="2" ht="16.5" spans="1:13">
      <c r="A2" s="9">
        <v>1</v>
      </c>
      <c r="B2" s="9" t="s">
        <v>28</v>
      </c>
      <c r="C2" s="20" t="s">
        <v>29</v>
      </c>
      <c r="D2" s="23" t="str">
        <f>IF($C2="","",IFERROR(VLOOKUP($C2,设备状态!$A:$B,2,0),""))</f>
        <v>400T 闭式双点压力机</v>
      </c>
      <c r="E2" s="23" t="str">
        <f>IF($C2="","",IFERROR(VLOOKUP($C2,设备状态!$A:$C,3,0),""))</f>
        <v>一号冲压车间</v>
      </c>
      <c r="F2" s="23" t="str">
        <f>IF($C2="","",IFERROR(VLOOKUP($C2,模具状态!$C:$E,3,0),""))</f>
        <v>PK-400 泵壳</v>
      </c>
      <c r="G2" s="20" t="s">
        <v>30</v>
      </c>
      <c r="H2" s="13">
        <v>2840</v>
      </c>
      <c r="I2" s="13">
        <v>3100</v>
      </c>
      <c r="J2" s="14">
        <f t="shared" ref="J2:J17" si="0">IF(OR($I2="",$I2=0),"",$H2/$I2)</f>
        <v>0.916129032258065</v>
      </c>
      <c r="K2" s="13">
        <v>45</v>
      </c>
      <c r="L2" s="14">
        <f t="shared" ref="L2:L17" si="1">IF(OR($H2="",$H2=0),"",($H2-$K2)/$H2)</f>
        <v>0.984154929577465</v>
      </c>
      <c r="M2" s="28"/>
    </row>
    <row r="3" ht="16.5" spans="1:13">
      <c r="A3" s="9">
        <v>2</v>
      </c>
      <c r="B3" s="9" t="s">
        <v>28</v>
      </c>
      <c r="C3" s="20" t="s">
        <v>31</v>
      </c>
      <c r="D3" s="23" t="str">
        <f>IF($C3="","",IFERROR(VLOOKUP($C3,设备状态!$A:$B,2,0),""))</f>
        <v>250T 开式压力机</v>
      </c>
      <c r="E3" s="23" t="str">
        <f>IF($C3="","",IFERROR(VLOOKUP($C3,设备状态!$A:$C,3,0),""))</f>
        <v>一号冲压车间</v>
      </c>
      <c r="F3" s="23" t="str">
        <f>IF($C3="","",IFERROR(VLOOKUP($C3,模具状态!$C:$E,3,0),""))</f>
        <v>YL-250 叶轮</v>
      </c>
      <c r="G3" s="20" t="s">
        <v>32</v>
      </c>
      <c r="H3" s="13">
        <v>3560</v>
      </c>
      <c r="I3" s="13">
        <v>3400</v>
      </c>
      <c r="J3" s="14">
        <f t="shared" si="0"/>
        <v>1.04705882352941</v>
      </c>
      <c r="K3" s="13">
        <v>39</v>
      </c>
      <c r="L3" s="14">
        <f t="shared" si="1"/>
        <v>0.989044943820225</v>
      </c>
      <c r="M3" s="28"/>
    </row>
    <row r="4" ht="16.5" spans="1:13">
      <c r="A4" s="9">
        <v>3</v>
      </c>
      <c r="B4" s="9" t="s">
        <v>28</v>
      </c>
      <c r="C4" s="20" t="s">
        <v>33</v>
      </c>
      <c r="D4" s="23" t="str">
        <f>IF($C4="","",IFERROR(VLOOKUP($C4,设备状态!$A:$B,2,0),""))</f>
        <v>160T 开式压力机</v>
      </c>
      <c r="E4" s="23" t="str">
        <f>IF($C4="","",IFERROR(VLOOKUP($C4,设备状态!$A:$C,3,0),""))</f>
        <v>一号冲压车间</v>
      </c>
      <c r="F4" s="23" t="str">
        <f>IF($C4="","",IFERROR(VLOOKUP($C4,模具状态!$C:$E,3,0),""))</f>
        <v>FL-150 法兰</v>
      </c>
      <c r="G4" s="20" t="s">
        <v>34</v>
      </c>
      <c r="H4" s="13">
        <v>1680</v>
      </c>
      <c r="I4" s="13">
        <v>2600</v>
      </c>
      <c r="J4" s="14">
        <f t="shared" si="0"/>
        <v>0.646153846153846</v>
      </c>
      <c r="K4" s="13">
        <v>52</v>
      </c>
      <c r="L4" s="14">
        <f t="shared" si="1"/>
        <v>0.969047619047619</v>
      </c>
      <c r="M4" s="4" t="s">
        <v>35</v>
      </c>
    </row>
    <row r="5" ht="16.5" spans="1:13">
      <c r="A5" s="9">
        <v>4</v>
      </c>
      <c r="B5" s="9" t="s">
        <v>28</v>
      </c>
      <c r="C5" s="20" t="s">
        <v>36</v>
      </c>
      <c r="D5" s="23" t="str">
        <f>IF($C5="","",IFERROR(VLOOKUP($C5,设备状态!$A:$B,2,0),""))</f>
        <v>200T 液压冲床</v>
      </c>
      <c r="E5" s="23" t="str">
        <f>IF($C5="","",IFERROR(VLOOKUP($C5,设备状态!$A:$C,3,0),""))</f>
        <v>一号冲压车间</v>
      </c>
      <c r="F5" s="23" t="str">
        <f>IF($C5="","",IFERROR(VLOOKUP($C5,模具状态!$C:$E,3,0),""))</f>
        <v>PK-400 泵壳</v>
      </c>
      <c r="G5" s="20" t="s">
        <v>37</v>
      </c>
      <c r="H5" s="13">
        <v>920</v>
      </c>
      <c r="I5" s="13">
        <v>2200</v>
      </c>
      <c r="J5" s="14">
        <f t="shared" si="0"/>
        <v>0.418181818181818</v>
      </c>
      <c r="K5" s="13">
        <v>31</v>
      </c>
      <c r="L5" s="14">
        <f t="shared" si="1"/>
        <v>0.966304347826087</v>
      </c>
      <c r="M5" s="4" t="s">
        <v>38</v>
      </c>
    </row>
    <row r="6" ht="16.5" spans="1:13">
      <c r="A6" s="9">
        <v>5</v>
      </c>
      <c r="B6" s="9" t="s">
        <v>28</v>
      </c>
      <c r="C6" s="20" t="s">
        <v>39</v>
      </c>
      <c r="D6" s="23" t="str">
        <f>IF($C6="","",IFERROR(VLOOKUP($C6,设备状态!$A:$B,2,0),""))</f>
        <v>315T 精冲压力机</v>
      </c>
      <c r="E6" s="23" t="str">
        <f>IF($C6="","",IFERROR(VLOOKUP($C6,设备状态!$A:$C,3,0),""))</f>
        <v>一号冲压车间</v>
      </c>
      <c r="F6" s="23" t="str">
        <f>IF($C6="","",IFERROR(VLOOKUP($C6,模具状态!$C:$E,3,0),""))</f>
        <v>YL-250 叶轮</v>
      </c>
      <c r="G6" s="20" t="s">
        <v>40</v>
      </c>
      <c r="H6" s="13">
        <v>1980</v>
      </c>
      <c r="I6" s="13">
        <v>2100</v>
      </c>
      <c r="J6" s="14">
        <f t="shared" si="0"/>
        <v>0.942857142857143</v>
      </c>
      <c r="K6" s="13">
        <v>22</v>
      </c>
      <c r="L6" s="14">
        <f t="shared" si="1"/>
        <v>0.988888888888889</v>
      </c>
      <c r="M6" s="4"/>
    </row>
    <row r="7" ht="16.5" spans="1:13">
      <c r="A7" s="9">
        <v>6</v>
      </c>
      <c r="B7" s="9" t="s">
        <v>28</v>
      </c>
      <c r="C7" s="20" t="s">
        <v>41</v>
      </c>
      <c r="D7" s="23" t="str">
        <f>IF($C7="","",IFERROR(VLOOKUP($C7,设备状态!$A:$B,2,0),""))</f>
        <v>125T 高速冲床</v>
      </c>
      <c r="E7" s="23" t="str">
        <f>IF($C7="","",IFERROR(VLOOKUP($C7,设备状态!$A:$C,3,0),""))</f>
        <v>二号冲压车间</v>
      </c>
      <c r="F7" s="23" t="str">
        <f>IF($C7="","",IFERROR(VLOOKUP($C7,模具状态!$C:$E,3,0),""))</f>
        <v>FL-150 法兰</v>
      </c>
      <c r="G7" s="20" t="s">
        <v>42</v>
      </c>
      <c r="H7" s="13">
        <v>5820</v>
      </c>
      <c r="I7" s="13">
        <v>5600</v>
      </c>
      <c r="J7" s="14">
        <f t="shared" si="0"/>
        <v>1.03928571428571</v>
      </c>
      <c r="K7" s="13">
        <v>58</v>
      </c>
      <c r="L7" s="14">
        <f t="shared" si="1"/>
        <v>0.990034364261168</v>
      </c>
      <c r="M7" s="4"/>
    </row>
    <row r="8" ht="16.5" spans="1:13">
      <c r="A8" s="9">
        <v>7</v>
      </c>
      <c r="B8" s="9" t="s">
        <v>28</v>
      </c>
      <c r="C8" s="20" t="s">
        <v>43</v>
      </c>
      <c r="D8" s="23" t="str">
        <f>IF($C8="","",IFERROR(VLOOKUP($C8,设备状态!$A:$B,2,0),""))</f>
        <v>110T 高速冲床</v>
      </c>
      <c r="E8" s="23" t="str">
        <f>IF($C8="","",IFERROR(VLOOKUP($C8,设备状态!$A:$C,3,0),""))</f>
        <v>二号冲压车间</v>
      </c>
      <c r="F8" s="23" t="str">
        <f>IF($C8="","",IFERROR(VLOOKUP($C8,模具状态!$C:$E,3,0),""))</f>
        <v>MF-100 密封盖</v>
      </c>
      <c r="G8" s="20" t="s">
        <v>44</v>
      </c>
      <c r="H8" s="13">
        <v>5460</v>
      </c>
      <c r="I8" s="13">
        <v>5400</v>
      </c>
      <c r="J8" s="14">
        <f t="shared" si="0"/>
        <v>1.01111111111111</v>
      </c>
      <c r="K8" s="13">
        <v>71</v>
      </c>
      <c r="L8" s="14">
        <f t="shared" si="1"/>
        <v>0.986996336996337</v>
      </c>
      <c r="M8" s="4"/>
    </row>
    <row r="9" ht="16.5" spans="1:13">
      <c r="A9" s="9">
        <v>8</v>
      </c>
      <c r="B9" s="9" t="s">
        <v>28</v>
      </c>
      <c r="C9" s="20" t="s">
        <v>45</v>
      </c>
      <c r="D9" s="23" t="str">
        <f>IF($C9="","",IFERROR(VLOOKUP($C9,设备状态!$A:$B,2,0),""))</f>
        <v>80T 开式压力机</v>
      </c>
      <c r="E9" s="23" t="str">
        <f>IF($C9="","",IFERROR(VLOOKUP($C9,设备状态!$A:$C,3,0),""))</f>
        <v>二号冲压车间</v>
      </c>
      <c r="F9" s="23" t="str">
        <f>IF($C9="","",IFERROR(VLOOKUP($C9,模具状态!$C:$E,3,0),""))</f>
        <v>DG-200 端盖</v>
      </c>
      <c r="G9" s="20" t="s">
        <v>46</v>
      </c>
      <c r="H9" s="13">
        <v>0</v>
      </c>
      <c r="I9" s="13">
        <v>1800</v>
      </c>
      <c r="J9" s="14">
        <f t="shared" si="0"/>
        <v>0</v>
      </c>
      <c r="K9" s="13">
        <v>0</v>
      </c>
      <c r="L9" s="14" t="str">
        <f t="shared" si="1"/>
        <v/>
      </c>
      <c r="M9" s="4" t="s">
        <v>47</v>
      </c>
    </row>
    <row r="10" ht="16.5" spans="1:13">
      <c r="A10" s="9">
        <v>9</v>
      </c>
      <c r="B10" s="9" t="s">
        <v>28</v>
      </c>
      <c r="C10" s="20" t="s">
        <v>48</v>
      </c>
      <c r="D10" s="23" t="str">
        <f>IF($C10="","",IFERROR(VLOOKUP($C10,设备状态!$A:$B,2,0),""))</f>
        <v>160T 开式压力机</v>
      </c>
      <c r="E10" s="23" t="str">
        <f>IF($C10="","",IFERROR(VLOOKUP($C10,设备状态!$A:$C,3,0),""))</f>
        <v>二号冲压车间</v>
      </c>
      <c r="F10" s="23" t="str">
        <f>IF($C10="","",IFERROR(VLOOKUP($C10,模具状态!$C:$E,3,0),""))</f>
        <v>FL-150 法兰</v>
      </c>
      <c r="G10" s="20" t="s">
        <v>49</v>
      </c>
      <c r="H10" s="13">
        <v>3120</v>
      </c>
      <c r="I10" s="13">
        <v>3200</v>
      </c>
      <c r="J10" s="14">
        <f t="shared" si="0"/>
        <v>0.975</v>
      </c>
      <c r="K10" s="13">
        <v>28</v>
      </c>
      <c r="L10" s="14">
        <f t="shared" si="1"/>
        <v>0.991025641025641</v>
      </c>
      <c r="M10" s="4"/>
    </row>
    <row r="11" ht="16.5" spans="1:13">
      <c r="A11" s="9">
        <v>10</v>
      </c>
      <c r="B11" s="9" t="s">
        <v>28</v>
      </c>
      <c r="C11" s="20" t="s">
        <v>50</v>
      </c>
      <c r="D11" s="23" t="str">
        <f>IF($C11="","",IFERROR(VLOOKUP($C11,设备状态!$A:$B,2,0),""))</f>
        <v>250T 液压冲床</v>
      </c>
      <c r="E11" s="23" t="str">
        <f>IF($C11="","",IFERROR(VLOOKUP($C11,设备状态!$A:$C,3,0),""))</f>
        <v>二号冲压车间</v>
      </c>
      <c r="F11" s="23" t="str">
        <f>IF($C11="","",IFERROR(VLOOKUP($C11,模具状态!$C:$E,3,0),""))</f>
        <v>MF-100 密封盖</v>
      </c>
      <c r="G11" s="20" t="s">
        <v>51</v>
      </c>
      <c r="H11" s="13">
        <v>410</v>
      </c>
      <c r="I11" s="13">
        <v>2600</v>
      </c>
      <c r="J11" s="14">
        <f t="shared" si="0"/>
        <v>0.157692307692308</v>
      </c>
      <c r="K11" s="13">
        <v>9</v>
      </c>
      <c r="L11" s="14">
        <f t="shared" si="1"/>
        <v>0.978048780487805</v>
      </c>
      <c r="M11" s="4" t="s">
        <v>52</v>
      </c>
    </row>
    <row r="12" ht="16.5" spans="1:13">
      <c r="A12" s="9">
        <v>11</v>
      </c>
      <c r="B12" s="9" t="s">
        <v>28</v>
      </c>
      <c r="C12" s="20" t="s">
        <v>53</v>
      </c>
      <c r="D12" s="23" t="str">
        <f>IF($C12="","",IFERROR(VLOOKUP($C12,设备状态!$A:$B,2,0),""))</f>
        <v>355T 闭式压力机</v>
      </c>
      <c r="E12" s="23" t="str">
        <f>IF($C12="","",IFERROR(VLOOKUP($C12,设备状态!$A:$C,3,0),""))</f>
        <v>三号焊接车间</v>
      </c>
      <c r="F12" s="23" t="str">
        <f>IF($C12="","",IFERROR(VLOOKUP($C12,模具状态!$C:$E,3,0),""))</f>
        <v>PT-350 泵体</v>
      </c>
      <c r="G12" s="20" t="s">
        <v>54</v>
      </c>
      <c r="H12" s="13">
        <v>1640</v>
      </c>
      <c r="I12" s="13">
        <v>1900</v>
      </c>
      <c r="J12" s="14">
        <f t="shared" si="0"/>
        <v>0.863157894736842</v>
      </c>
      <c r="K12" s="13">
        <v>18</v>
      </c>
      <c r="L12" s="14">
        <f t="shared" si="1"/>
        <v>0.989024390243902</v>
      </c>
      <c r="M12" s="4"/>
    </row>
    <row r="13" ht="16.5" spans="1:13">
      <c r="A13" s="9">
        <v>12</v>
      </c>
      <c r="B13" s="9" t="s">
        <v>28</v>
      </c>
      <c r="C13" s="20" t="s">
        <v>55</v>
      </c>
      <c r="D13" s="23" t="str">
        <f>IF($C13="","",IFERROR(VLOOKUP($C13,设备状态!$A:$B,2,0),""))</f>
        <v>220T 闭式压力机</v>
      </c>
      <c r="E13" s="23" t="str">
        <f>IF($C13="","",IFERROR(VLOOKUP($C13,设备状态!$A:$C,3,0),""))</f>
        <v>三号焊接车间</v>
      </c>
      <c r="F13" s="23" t="str">
        <f>IF($C13="","",IFERROR(VLOOKUP($C13,模具状态!$C:$E,3,0),""))</f>
        <v>PT-350 泵体</v>
      </c>
      <c r="G13" s="20" t="s">
        <v>56</v>
      </c>
      <c r="H13" s="13">
        <v>2140</v>
      </c>
      <c r="I13" s="13">
        <v>2200</v>
      </c>
      <c r="J13" s="14">
        <f t="shared" si="0"/>
        <v>0.972727272727273</v>
      </c>
      <c r="K13" s="13">
        <v>25</v>
      </c>
      <c r="L13" s="14">
        <f t="shared" si="1"/>
        <v>0.988317757009346</v>
      </c>
      <c r="M13" s="4"/>
    </row>
    <row r="14" ht="16.5" spans="1:13">
      <c r="A14" s="9">
        <v>13</v>
      </c>
      <c r="B14" s="9" t="s">
        <v>28</v>
      </c>
      <c r="C14" s="20" t="s">
        <v>57</v>
      </c>
      <c r="D14" s="23" t="str">
        <f>IF($C14="","",IFERROR(VLOOKUP($C14,设备状态!$A:$B,2,0),""))</f>
        <v>140T 开式压力机</v>
      </c>
      <c r="E14" s="23" t="str">
        <f>IF($C14="","",IFERROR(VLOOKUP($C14,设备状态!$A:$C,3,0),""))</f>
        <v>三号焊接车间</v>
      </c>
      <c r="F14" s="23" t="str">
        <f>IF($C14="","",IFERROR(VLOOKUP($C14,模具状态!$C:$E,3,0),""))</f>
        <v>FL-150 法兰</v>
      </c>
      <c r="G14" s="20" t="s">
        <v>58</v>
      </c>
      <c r="H14" s="13">
        <v>2860</v>
      </c>
      <c r="I14" s="13">
        <v>2800</v>
      </c>
      <c r="J14" s="14">
        <f t="shared" si="0"/>
        <v>1.02142857142857</v>
      </c>
      <c r="K14" s="13">
        <v>33</v>
      </c>
      <c r="L14" s="14">
        <f t="shared" si="1"/>
        <v>0.988461538461539</v>
      </c>
      <c r="M14" s="4"/>
    </row>
    <row r="15" ht="16.5" spans="1:13">
      <c r="A15" s="9">
        <v>14</v>
      </c>
      <c r="B15" s="9" t="s">
        <v>28</v>
      </c>
      <c r="C15" s="20" t="s">
        <v>59</v>
      </c>
      <c r="D15" s="23" t="str">
        <f>IF($C15="","",IFERROR(VLOOKUP($C15,设备状态!$A:$B,2,0),""))</f>
        <v>63T 开式压力机</v>
      </c>
      <c r="E15" s="23" t="str">
        <f>IF($C15="","",IFERROR(VLOOKUP($C15,设备状态!$A:$C,3,0),""))</f>
        <v>三号焊接车间</v>
      </c>
      <c r="F15" s="23" t="str">
        <f>IF($C15="","",IFERROR(VLOOKUP($C15,模具状态!$C:$E,3,0),""))</f>
        <v>ZJ-063 泵支架</v>
      </c>
      <c r="G15" s="20" t="s">
        <v>60</v>
      </c>
      <c r="H15" s="13">
        <v>760</v>
      </c>
      <c r="I15" s="13">
        <v>2400</v>
      </c>
      <c r="J15" s="14">
        <f t="shared" si="0"/>
        <v>0.316666666666667</v>
      </c>
      <c r="K15" s="13">
        <v>14</v>
      </c>
      <c r="L15" s="14">
        <f t="shared" si="1"/>
        <v>0.981578947368421</v>
      </c>
      <c r="M15" s="4"/>
    </row>
    <row r="16" ht="16.5" spans="1:13">
      <c r="A16" s="9">
        <v>15</v>
      </c>
      <c r="B16" s="9" t="s">
        <v>28</v>
      </c>
      <c r="C16" s="20" t="s">
        <v>61</v>
      </c>
      <c r="D16" s="23" t="str">
        <f>IF($C16="","",IFERROR(VLOOKUP($C16,设备状态!$A:$B,2,0),""))</f>
        <v>200T 折弯冲床</v>
      </c>
      <c r="E16" s="23" t="str">
        <f>IF($C16="","",IFERROR(VLOOKUP($C16,设备状态!$A:$C,3,0),""))</f>
        <v>三号焊接车间</v>
      </c>
      <c r="F16" s="23" t="str">
        <f>IF($C16="","",IFERROR(VLOOKUP($C16,模具状态!$C:$E,3,0),""))</f>
        <v>PT-350 泵体</v>
      </c>
      <c r="G16" s="20" t="s">
        <v>62</v>
      </c>
      <c r="H16" s="13">
        <v>640</v>
      </c>
      <c r="I16" s="13">
        <v>1500</v>
      </c>
      <c r="J16" s="14">
        <f t="shared" si="0"/>
        <v>0.426666666666667</v>
      </c>
      <c r="K16" s="13">
        <v>12</v>
      </c>
      <c r="L16" s="14">
        <f t="shared" si="1"/>
        <v>0.98125</v>
      </c>
      <c r="M16" s="4" t="s">
        <v>63</v>
      </c>
    </row>
    <row r="17" ht="27" customHeight="1" spans="1:12">
      <c r="A17" s="9">
        <v>16</v>
      </c>
      <c r="B17" s="9" t="s">
        <v>28</v>
      </c>
      <c r="C17" s="35" t="s">
        <v>64</v>
      </c>
      <c r="D17" s="23" t="str">
        <f>IF($C17="","",IFERROR(VLOOKUP($C17,设备状态!$A:$B,2,0),""))</f>
        <v>J23-100T压力机</v>
      </c>
      <c r="E17" s="23" t="str">
        <f>IF($C17="","",IFERROR(VLOOKUP($C17,设备状态!$A:$C,3,0),""))</f>
        <v>一号冲压车间</v>
      </c>
      <c r="F17" s="23" t="str">
        <f>IF($C17="","",IFERROR(VLOOKUP($C17,模具状态!$C:$E,3,0),""))</f>
        <v>GD50-200/400泵壳</v>
      </c>
      <c r="G17" s="20" t="s">
        <v>65</v>
      </c>
      <c r="H17" s="34">
        <v>140</v>
      </c>
      <c r="I17" s="34">
        <v>200</v>
      </c>
      <c r="J17" s="14">
        <f t="shared" si="0"/>
        <v>0.7</v>
      </c>
      <c r="K17" s="34">
        <v>3</v>
      </c>
      <c r="L17" s="14">
        <f t="shared" si="1"/>
        <v>0.978571428571429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7" etc:filterBottomFollowUsedRange="0">
    <extLst/>
  </autoFilter>
  <conditionalFormatting sqref="J2:J17">
    <cfRule type="cellIs" dxfId="0" priority="2" operator="greaterThanOrEqual">
      <formula>1</formula>
    </cfRule>
    <cfRule type="cellIs" dxfId="1" priority="3" operator="lessThan">
      <formula>0.8</formula>
    </cfRule>
  </conditionalFormatting>
  <dataValidations count="1">
    <dataValidation type="list" allowBlank="1" sqref="B2:B17">
      <formula1>"白班,夜班"</formula1>
    </dataValidation>
  </dataValidations>
  <pageMargins left="0.75" right="0.75" top="1" bottom="1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1"/>
  <sheetViews>
    <sheetView workbookViewId="0">
      <pane ySplit="1" topLeftCell="A2" activePane="bottomLeft" state="frozen"/>
      <selection/>
      <selection pane="bottomLeft" activeCell="A17" sqref="A17"/>
    </sheetView>
  </sheetViews>
  <sheetFormatPr defaultColWidth="8.6" defaultRowHeight="15"/>
  <cols>
    <col min="1" max="1" width="10" customWidth="1"/>
    <col min="2" max="2" width="19" customWidth="1"/>
    <col min="3" max="3" width="14" customWidth="1"/>
    <col min="4" max="4" width="12" customWidth="1"/>
    <col min="5" max="5" width="8" customWidth="1"/>
    <col min="6" max="6" width="10" customWidth="1"/>
    <col min="7" max="8" width="13" customWidth="1"/>
    <col min="9" max="9" width="12" customWidth="1"/>
    <col min="10" max="10" width="11" customWidth="1"/>
    <col min="11" max="11" width="12" customWidth="1"/>
    <col min="12" max="12" width="10" customWidth="1"/>
    <col min="13" max="14" width="11" customWidth="1"/>
    <col min="15" max="18" width="9" customWidth="1"/>
  </cols>
  <sheetData>
    <row r="1" ht="25.5" customHeight="1" spans="1:18">
      <c r="A1" s="8" t="s">
        <v>19</v>
      </c>
      <c r="B1" s="8" t="s">
        <v>20</v>
      </c>
      <c r="C1" s="8" t="s">
        <v>21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14</v>
      </c>
      <c r="J1" s="8" t="s">
        <v>71</v>
      </c>
      <c r="K1" s="8" t="s">
        <v>24</v>
      </c>
      <c r="L1" s="8" t="s">
        <v>25</v>
      </c>
      <c r="M1" s="8" t="s">
        <v>72</v>
      </c>
      <c r="N1" s="8" t="s">
        <v>73</v>
      </c>
      <c r="O1" s="8" t="s">
        <v>26</v>
      </c>
      <c r="P1" s="27" t="s">
        <v>74</v>
      </c>
      <c r="Q1" s="8" t="s">
        <v>15</v>
      </c>
      <c r="R1" s="8" t="s">
        <v>75</v>
      </c>
    </row>
    <row r="2" ht="16.5" spans="1:18">
      <c r="A2" s="20" t="s">
        <v>29</v>
      </c>
      <c r="B2" s="28" t="s">
        <v>76</v>
      </c>
      <c r="C2" s="21" t="s">
        <v>77</v>
      </c>
      <c r="D2" s="9" t="s">
        <v>78</v>
      </c>
      <c r="E2" s="21">
        <v>400</v>
      </c>
      <c r="F2" s="9" t="s">
        <v>11</v>
      </c>
      <c r="G2" s="21">
        <v>655</v>
      </c>
      <c r="H2" s="21">
        <v>65</v>
      </c>
      <c r="I2" s="13">
        <f>IF($A2="","",SUMIF(生产明细!$C:$C,$A2,生产明细!$H:$H))</f>
        <v>2840</v>
      </c>
      <c r="J2" s="29">
        <v>4.34</v>
      </c>
      <c r="K2" s="13">
        <f>IF($A2="","",SUMIF(生产明细!$C:$C,$A2,生产明细!$I:$I))</f>
        <v>3100</v>
      </c>
      <c r="L2" s="13">
        <f>IF($A2="","",SUMIF(生产明细!$C:$C,$A2,生产明细!$K:$K))</f>
        <v>45</v>
      </c>
      <c r="M2" s="14">
        <f>IF($G2="","",$G2/基础配置!$B$3)</f>
        <v>0.909722222222222</v>
      </c>
      <c r="N2" s="14">
        <f t="shared" ref="N2:N17" si="0">IF(OR($G2="",$G2=0,$J2=""),"",IF($J2=0,"",$I2/($G2*$J2)))</f>
        <v>0.999050198754705</v>
      </c>
      <c r="O2" s="14">
        <f t="shared" ref="O2:O17" si="1">IF(OR($I2="",$I2=0),"",($I2-$L2)/$I2)</f>
        <v>0.984154929577465</v>
      </c>
      <c r="P2" s="14">
        <f t="shared" ref="P2:P17" si="2">IF(OR($M2="",$N2="",$O2=""),"",$M2*$N2*$O2)</f>
        <v>0.894457245263697</v>
      </c>
      <c r="Q2" s="14">
        <f t="shared" ref="Q2:Q17" si="3">IF(OR($K2="",$K2=0),"",$I2/$K2)</f>
        <v>0.916129032258065</v>
      </c>
      <c r="R2" s="9" t="s">
        <v>79</v>
      </c>
    </row>
    <row r="3" ht="16.5" spans="1:18">
      <c r="A3" s="20" t="s">
        <v>31</v>
      </c>
      <c r="B3" s="28" t="s">
        <v>80</v>
      </c>
      <c r="C3" s="21" t="s">
        <v>77</v>
      </c>
      <c r="D3" s="9" t="s">
        <v>78</v>
      </c>
      <c r="E3" s="21">
        <v>250</v>
      </c>
      <c r="F3" s="9" t="s">
        <v>11</v>
      </c>
      <c r="G3" s="21">
        <v>690</v>
      </c>
      <c r="H3" s="21">
        <v>30</v>
      </c>
      <c r="I3" s="13">
        <f>IF($A3="","",SUMIF(生产明细!$C:$C,$A3,生产明细!$H:$H))</f>
        <v>3560</v>
      </c>
      <c r="J3" s="29">
        <v>5.16</v>
      </c>
      <c r="K3" s="13">
        <f>IF($A3="","",SUMIF(生产明细!$C:$C,$A3,生产明细!$I:$I))</f>
        <v>3400</v>
      </c>
      <c r="L3" s="13">
        <f>IF($A3="","",SUMIF(生产明细!$C:$C,$A3,生产明细!$K:$K))</f>
        <v>39</v>
      </c>
      <c r="M3" s="14">
        <f>IF($G3="","",$G3/基础配置!$B$3)</f>
        <v>0.958333333333333</v>
      </c>
      <c r="N3" s="14">
        <f t="shared" si="0"/>
        <v>0.999887653072688</v>
      </c>
      <c r="O3" s="14">
        <f t="shared" si="1"/>
        <v>0.989044943820225</v>
      </c>
      <c r="P3" s="14">
        <f t="shared" si="2"/>
        <v>0.947728251507321</v>
      </c>
      <c r="Q3" s="14">
        <f t="shared" si="3"/>
        <v>1.04705882352941</v>
      </c>
      <c r="R3" s="9" t="s">
        <v>81</v>
      </c>
    </row>
    <row r="4" ht="16.5" spans="1:18">
      <c r="A4" s="20" t="s">
        <v>33</v>
      </c>
      <c r="B4" s="28" t="s">
        <v>82</v>
      </c>
      <c r="C4" s="21" t="s">
        <v>77</v>
      </c>
      <c r="D4" s="9" t="s">
        <v>78</v>
      </c>
      <c r="E4" s="21">
        <v>160</v>
      </c>
      <c r="F4" s="9" t="s">
        <v>83</v>
      </c>
      <c r="G4" s="21">
        <v>420</v>
      </c>
      <c r="H4" s="21">
        <v>300</v>
      </c>
      <c r="I4" s="13">
        <f>IF($A4="","",SUMIF(生产明细!$C:$C,$A4,生产明细!$H:$H))</f>
        <v>1680</v>
      </c>
      <c r="J4" s="29">
        <v>4</v>
      </c>
      <c r="K4" s="13">
        <f>IF($A4="","",SUMIF(生产明细!$C:$C,$A4,生产明细!$I:$I))</f>
        <v>2600</v>
      </c>
      <c r="L4" s="13">
        <f>IF($A4="","",SUMIF(生产明细!$C:$C,$A4,生产明细!$K:$K))</f>
        <v>52</v>
      </c>
      <c r="M4" s="14">
        <f>IF($G4="","",$G4/基础配置!$B$3)</f>
        <v>0.583333333333333</v>
      </c>
      <c r="N4" s="14">
        <f t="shared" si="0"/>
        <v>1</v>
      </c>
      <c r="O4" s="14">
        <f t="shared" si="1"/>
        <v>0.969047619047619</v>
      </c>
      <c r="P4" s="14">
        <f t="shared" si="2"/>
        <v>0.565277777777778</v>
      </c>
      <c r="Q4" s="14">
        <f t="shared" si="3"/>
        <v>0.646153846153846</v>
      </c>
      <c r="R4" s="9" t="s">
        <v>84</v>
      </c>
    </row>
    <row r="5" ht="16.5" spans="1:18">
      <c r="A5" s="20" t="s">
        <v>36</v>
      </c>
      <c r="B5" s="28" t="s">
        <v>85</v>
      </c>
      <c r="C5" s="21" t="s">
        <v>77</v>
      </c>
      <c r="D5" s="9" t="s">
        <v>86</v>
      </c>
      <c r="E5" s="21">
        <v>200</v>
      </c>
      <c r="F5" s="9" t="s">
        <v>12</v>
      </c>
      <c r="G5" s="21">
        <v>310</v>
      </c>
      <c r="H5" s="21">
        <v>410</v>
      </c>
      <c r="I5" s="13">
        <f>IF($A5="","",SUMIF(生产明细!$C:$C,$A5,生产明细!$H:$H))</f>
        <v>920</v>
      </c>
      <c r="J5" s="29">
        <v>2.97</v>
      </c>
      <c r="K5" s="13">
        <f>IF($A5="","",SUMIF(生产明细!$C:$C,$A5,生产明细!$I:$I))</f>
        <v>2200</v>
      </c>
      <c r="L5" s="13">
        <f>IF($A5="","",SUMIF(生产明细!$C:$C,$A5,生产明细!$K:$K))</f>
        <v>31</v>
      </c>
      <c r="M5" s="14">
        <f>IF($G5="","",$G5/基础配置!$B$3)</f>
        <v>0.430555555555556</v>
      </c>
      <c r="N5" s="14">
        <f t="shared" si="0"/>
        <v>0.999239708917128</v>
      </c>
      <c r="O5" s="14">
        <f t="shared" si="1"/>
        <v>0.966304347826087</v>
      </c>
      <c r="P5" s="14">
        <f t="shared" si="2"/>
        <v>0.41573138795361</v>
      </c>
      <c r="Q5" s="14">
        <f t="shared" si="3"/>
        <v>0.418181818181818</v>
      </c>
      <c r="R5" s="9" t="s">
        <v>87</v>
      </c>
    </row>
    <row r="6" ht="16.5" spans="1:18">
      <c r="A6" s="20" t="s">
        <v>39</v>
      </c>
      <c r="B6" s="28" t="s">
        <v>88</v>
      </c>
      <c r="C6" s="21" t="s">
        <v>77</v>
      </c>
      <c r="D6" s="9" t="s">
        <v>89</v>
      </c>
      <c r="E6" s="21">
        <v>315</v>
      </c>
      <c r="F6" s="9" t="s">
        <v>11</v>
      </c>
      <c r="G6" s="21">
        <v>665</v>
      </c>
      <c r="H6" s="21">
        <v>55</v>
      </c>
      <c r="I6" s="13">
        <f>IF($A6="","",SUMIF(生产明细!$C:$C,$A6,生产明细!$H:$H))</f>
        <v>1980</v>
      </c>
      <c r="J6" s="29">
        <v>2.98</v>
      </c>
      <c r="K6" s="13">
        <f>IF($A6="","",SUMIF(生产明细!$C:$C,$A6,生产明细!$I:$I))</f>
        <v>2100</v>
      </c>
      <c r="L6" s="13">
        <f>IF($A6="","",SUMIF(生产明细!$C:$C,$A6,生产明细!$K:$K))</f>
        <v>22</v>
      </c>
      <c r="M6" s="14">
        <f>IF($G6="","",$G6/基础配置!$B$3)</f>
        <v>0.923611111111111</v>
      </c>
      <c r="N6" s="14">
        <f t="shared" si="0"/>
        <v>0.99914215067871</v>
      </c>
      <c r="O6" s="14">
        <f t="shared" si="1"/>
        <v>0.988888888888889</v>
      </c>
      <c r="P6" s="14">
        <f t="shared" si="2"/>
        <v>0.912565249813572</v>
      </c>
      <c r="Q6" s="14">
        <f t="shared" si="3"/>
        <v>0.942857142857143</v>
      </c>
      <c r="R6" s="9" t="s">
        <v>90</v>
      </c>
    </row>
    <row r="7" ht="16.5" spans="1:18">
      <c r="A7" s="20" t="s">
        <v>41</v>
      </c>
      <c r="B7" s="28" t="s">
        <v>91</v>
      </c>
      <c r="C7" s="21" t="s">
        <v>92</v>
      </c>
      <c r="D7" s="9" t="s">
        <v>93</v>
      </c>
      <c r="E7" s="21">
        <v>125</v>
      </c>
      <c r="F7" s="9" t="s">
        <v>11</v>
      </c>
      <c r="G7" s="21">
        <v>700</v>
      </c>
      <c r="H7" s="21">
        <v>20</v>
      </c>
      <c r="I7" s="13">
        <f>IF($A7="","",SUMIF(生产明细!$C:$C,$A7,生产明细!$H:$H))</f>
        <v>5820</v>
      </c>
      <c r="J7" s="29">
        <v>8.31</v>
      </c>
      <c r="K7" s="13">
        <f>IF($A7="","",SUMIF(生产明细!$C:$C,$A7,生产明细!$I:$I))</f>
        <v>5600</v>
      </c>
      <c r="L7" s="13">
        <f>IF($A7="","",SUMIF(生产明细!$C:$C,$A7,生产明细!$K:$K))</f>
        <v>58</v>
      </c>
      <c r="M7" s="14">
        <f>IF($G7="","",$G7/基础配置!$B$3)</f>
        <v>0.972222222222222</v>
      </c>
      <c r="N7" s="14">
        <f t="shared" si="0"/>
        <v>1.00051572975761</v>
      </c>
      <c r="O7" s="14">
        <f t="shared" si="1"/>
        <v>0.990034364261168</v>
      </c>
      <c r="P7" s="14">
        <f t="shared" si="2"/>
        <v>0.963029816820431</v>
      </c>
      <c r="Q7" s="14">
        <f t="shared" si="3"/>
        <v>1.03928571428571</v>
      </c>
      <c r="R7" s="9" t="s">
        <v>94</v>
      </c>
    </row>
    <row r="8" ht="16.5" spans="1:18">
      <c r="A8" s="20" t="s">
        <v>43</v>
      </c>
      <c r="B8" s="28" t="s">
        <v>95</v>
      </c>
      <c r="C8" s="21" t="s">
        <v>92</v>
      </c>
      <c r="D8" s="9" t="s">
        <v>93</v>
      </c>
      <c r="E8" s="21">
        <v>110</v>
      </c>
      <c r="F8" s="9" t="s">
        <v>11</v>
      </c>
      <c r="G8" s="21">
        <v>690</v>
      </c>
      <c r="H8" s="21">
        <v>30</v>
      </c>
      <c r="I8" s="13">
        <f>IF($A8="","",SUMIF(生产明细!$C:$C,$A8,生产明细!$H:$H))</f>
        <v>5460</v>
      </c>
      <c r="J8" s="29">
        <v>7.91</v>
      </c>
      <c r="K8" s="13">
        <f>IF($A8="","",SUMIF(生产明细!$C:$C,$A8,生产明细!$I:$I))</f>
        <v>5400</v>
      </c>
      <c r="L8" s="13">
        <f>IF($A8="","",SUMIF(生产明细!$C:$C,$A8,生产明细!$K:$K))</f>
        <v>71</v>
      </c>
      <c r="M8" s="14">
        <f>IF($G8="","",$G8/基础配置!$B$3)</f>
        <v>0.958333333333333</v>
      </c>
      <c r="N8" s="14">
        <f t="shared" si="0"/>
        <v>1.00038476337053</v>
      </c>
      <c r="O8" s="14">
        <f t="shared" si="1"/>
        <v>0.986996336996337</v>
      </c>
      <c r="P8" s="14">
        <f t="shared" si="2"/>
        <v>0.946235426323922</v>
      </c>
      <c r="Q8" s="14">
        <f t="shared" si="3"/>
        <v>1.01111111111111</v>
      </c>
      <c r="R8" s="9" t="s">
        <v>96</v>
      </c>
    </row>
    <row r="9" ht="16.5" spans="1:18">
      <c r="A9" s="20" t="s">
        <v>45</v>
      </c>
      <c r="B9" s="28" t="s">
        <v>97</v>
      </c>
      <c r="C9" s="21" t="s">
        <v>92</v>
      </c>
      <c r="D9" s="9" t="s">
        <v>78</v>
      </c>
      <c r="E9" s="21">
        <v>80</v>
      </c>
      <c r="F9" s="9" t="s">
        <v>98</v>
      </c>
      <c r="G9" s="21">
        <v>0</v>
      </c>
      <c r="H9" s="21">
        <v>720</v>
      </c>
      <c r="I9" s="13">
        <f>IF($A9="","",SUMIF(生产明细!$C:$C,$A9,生产明细!$H:$H))</f>
        <v>0</v>
      </c>
      <c r="J9" s="29">
        <v>0</v>
      </c>
      <c r="K9" s="13">
        <f>IF($A9="","",SUMIF(生产明细!$C:$C,$A9,生产明细!$I:$I))</f>
        <v>1800</v>
      </c>
      <c r="L9" s="13">
        <f>IF($A9="","",SUMIF(生产明细!$C:$C,$A9,生产明细!$K:$K))</f>
        <v>0</v>
      </c>
      <c r="M9" s="14">
        <f>IF($G9="","",$G9/基础配置!$B$3)</f>
        <v>0</v>
      </c>
      <c r="N9" s="14" t="str">
        <f t="shared" si="0"/>
        <v/>
      </c>
      <c r="O9" s="14" t="str">
        <f t="shared" si="1"/>
        <v/>
      </c>
      <c r="P9" s="14" t="str">
        <f t="shared" si="2"/>
        <v/>
      </c>
      <c r="Q9" s="14">
        <f t="shared" si="3"/>
        <v>0</v>
      </c>
      <c r="R9" s="9" t="s">
        <v>99</v>
      </c>
    </row>
    <row r="10" ht="16.5" spans="1:18">
      <c r="A10" s="20" t="s">
        <v>48</v>
      </c>
      <c r="B10" s="28" t="s">
        <v>100</v>
      </c>
      <c r="C10" s="21" t="s">
        <v>92</v>
      </c>
      <c r="D10" s="9" t="s">
        <v>78</v>
      </c>
      <c r="E10" s="21">
        <v>160</v>
      </c>
      <c r="F10" s="9" t="s">
        <v>11</v>
      </c>
      <c r="G10" s="21">
        <v>640</v>
      </c>
      <c r="H10" s="21">
        <v>80</v>
      </c>
      <c r="I10" s="13">
        <f>IF($A10="","",SUMIF(生产明细!$C:$C,$A10,生产明细!$H:$H))</f>
        <v>3120</v>
      </c>
      <c r="J10" s="29">
        <v>4.88</v>
      </c>
      <c r="K10" s="13">
        <f>IF($A10="","",SUMIF(生产明细!$C:$C,$A10,生产明细!$I:$I))</f>
        <v>3200</v>
      </c>
      <c r="L10" s="13">
        <f>IF($A10="","",SUMIF(生产明细!$C:$C,$A10,生产明细!$K:$K))</f>
        <v>28</v>
      </c>
      <c r="M10" s="14">
        <f>IF($G10="","",$G10/基础配置!$B$3)</f>
        <v>0.888888888888889</v>
      </c>
      <c r="N10" s="14">
        <f t="shared" si="0"/>
        <v>0.998975409836066</v>
      </c>
      <c r="O10" s="14">
        <f t="shared" si="1"/>
        <v>0.991025641025641</v>
      </c>
      <c r="P10" s="14">
        <f t="shared" si="2"/>
        <v>0.880009107468124</v>
      </c>
      <c r="Q10" s="14">
        <f t="shared" si="3"/>
        <v>0.975</v>
      </c>
      <c r="R10" s="9" t="s">
        <v>101</v>
      </c>
    </row>
    <row r="11" ht="16.5" spans="1:18">
      <c r="A11" s="20" t="s">
        <v>50</v>
      </c>
      <c r="B11" s="28" t="s">
        <v>102</v>
      </c>
      <c r="C11" s="21" t="s">
        <v>92</v>
      </c>
      <c r="D11" s="9" t="s">
        <v>86</v>
      </c>
      <c r="E11" s="21">
        <v>250</v>
      </c>
      <c r="F11" s="9" t="s">
        <v>103</v>
      </c>
      <c r="G11" s="21">
        <v>95</v>
      </c>
      <c r="H11" s="21">
        <v>625</v>
      </c>
      <c r="I11" s="13">
        <f>IF($A11="","",SUMIF(生产明细!$C:$C,$A11,生产明细!$H:$H))</f>
        <v>410</v>
      </c>
      <c r="J11" s="29">
        <v>4.32</v>
      </c>
      <c r="K11" s="13">
        <f>IF($A11="","",SUMIF(生产明细!$C:$C,$A11,生产明细!$I:$I))</f>
        <v>2600</v>
      </c>
      <c r="L11" s="13">
        <f>IF($A11="","",SUMIF(生产明细!$C:$C,$A11,生产明细!$K:$K))</f>
        <v>9</v>
      </c>
      <c r="M11" s="14">
        <f>IF($G11="","",$G11/基础配置!$B$3)</f>
        <v>0.131944444444444</v>
      </c>
      <c r="N11" s="14">
        <f t="shared" si="0"/>
        <v>0.999025341130604</v>
      </c>
      <c r="O11" s="14">
        <f t="shared" si="1"/>
        <v>0.978048780487805</v>
      </c>
      <c r="P11" s="14">
        <f t="shared" si="2"/>
        <v>0.128922325102881</v>
      </c>
      <c r="Q11" s="14">
        <f t="shared" si="3"/>
        <v>0.157692307692308</v>
      </c>
      <c r="R11" s="9" t="s">
        <v>104</v>
      </c>
    </row>
    <row r="12" ht="16.5" spans="1:18">
      <c r="A12" s="20" t="s">
        <v>53</v>
      </c>
      <c r="B12" s="28" t="s">
        <v>105</v>
      </c>
      <c r="C12" s="21" t="s">
        <v>106</v>
      </c>
      <c r="D12" s="9" t="s">
        <v>78</v>
      </c>
      <c r="E12" s="21">
        <v>355</v>
      </c>
      <c r="F12" s="9" t="s">
        <v>11</v>
      </c>
      <c r="G12" s="21">
        <v>665</v>
      </c>
      <c r="H12" s="21">
        <v>55</v>
      </c>
      <c r="I12" s="13">
        <f>IF($A12="","",SUMIF(生产明细!$C:$C,$A12,生产明细!$H:$H))</f>
        <v>1640</v>
      </c>
      <c r="J12" s="29">
        <v>2.47</v>
      </c>
      <c r="K12" s="13">
        <f>IF($A12="","",SUMIF(生产明细!$C:$C,$A12,生产明细!$I:$I))</f>
        <v>1900</v>
      </c>
      <c r="L12" s="13">
        <f>IF($A12="","",SUMIF(生产明细!$C:$C,$A12,生产明细!$K:$K))</f>
        <v>18</v>
      </c>
      <c r="M12" s="14">
        <f>IF($G12="","",$G12/基础配置!$B$3)</f>
        <v>0.923611111111111</v>
      </c>
      <c r="N12" s="14">
        <f t="shared" si="0"/>
        <v>0.998447535843658</v>
      </c>
      <c r="O12" s="14">
        <f t="shared" si="1"/>
        <v>0.989024390243902</v>
      </c>
      <c r="P12" s="14">
        <f t="shared" si="2"/>
        <v>0.912055780476833</v>
      </c>
      <c r="Q12" s="14">
        <f t="shared" si="3"/>
        <v>0.863157894736842</v>
      </c>
      <c r="R12" s="9" t="s">
        <v>107</v>
      </c>
    </row>
    <row r="13" ht="16.5" spans="1:18">
      <c r="A13" s="20" t="s">
        <v>55</v>
      </c>
      <c r="B13" s="28" t="s">
        <v>108</v>
      </c>
      <c r="C13" s="21" t="s">
        <v>106</v>
      </c>
      <c r="D13" s="9" t="s">
        <v>78</v>
      </c>
      <c r="E13" s="21">
        <v>220</v>
      </c>
      <c r="F13" s="9" t="s">
        <v>11</v>
      </c>
      <c r="G13" s="21">
        <v>675</v>
      </c>
      <c r="H13" s="21">
        <v>45</v>
      </c>
      <c r="I13" s="13">
        <f>IF($A13="","",SUMIF(生产明细!$C:$C,$A13,生产明细!$H:$H))</f>
        <v>2140</v>
      </c>
      <c r="J13" s="29">
        <v>3.17</v>
      </c>
      <c r="K13" s="13">
        <f>IF($A13="","",SUMIF(生产明细!$C:$C,$A13,生产明细!$I:$I))</f>
        <v>2200</v>
      </c>
      <c r="L13" s="13">
        <f>IF($A13="","",SUMIF(生产明细!$C:$C,$A13,生产明细!$K:$K))</f>
        <v>25</v>
      </c>
      <c r="M13" s="14">
        <f>IF($G13="","",$G13/基础配置!$B$3)</f>
        <v>0.9375</v>
      </c>
      <c r="N13" s="14">
        <f t="shared" si="0"/>
        <v>1.00011683607898</v>
      </c>
      <c r="O13" s="14">
        <f t="shared" si="1"/>
        <v>0.988317757009346</v>
      </c>
      <c r="P13" s="14">
        <f t="shared" si="2"/>
        <v>0.926656151419558</v>
      </c>
      <c r="Q13" s="14">
        <f t="shared" si="3"/>
        <v>0.972727272727273</v>
      </c>
      <c r="R13" s="9" t="s">
        <v>109</v>
      </c>
    </row>
    <row r="14" ht="16.5" spans="1:18">
      <c r="A14" s="20" t="s">
        <v>57</v>
      </c>
      <c r="B14" s="28" t="s">
        <v>110</v>
      </c>
      <c r="C14" s="21" t="s">
        <v>106</v>
      </c>
      <c r="D14" s="9" t="s">
        <v>78</v>
      </c>
      <c r="E14" s="21">
        <v>140</v>
      </c>
      <c r="F14" s="9" t="s">
        <v>11</v>
      </c>
      <c r="G14" s="21">
        <v>660</v>
      </c>
      <c r="H14" s="21">
        <v>60</v>
      </c>
      <c r="I14" s="13">
        <f>IF($A14="","",SUMIF(生产明细!$C:$C,$A14,生产明细!$H:$H))</f>
        <v>2860</v>
      </c>
      <c r="J14" s="29">
        <v>4.33</v>
      </c>
      <c r="K14" s="13">
        <f>IF($A14="","",SUMIF(生产明细!$C:$C,$A14,生产明细!$I:$I))</f>
        <v>2800</v>
      </c>
      <c r="L14" s="13">
        <f>IF($A14="","",SUMIF(生产明细!$C:$C,$A14,生产明细!$K:$K))</f>
        <v>33</v>
      </c>
      <c r="M14" s="14">
        <f>IF($G14="","",$G14/基础配置!$B$3)</f>
        <v>0.916666666666667</v>
      </c>
      <c r="N14" s="14">
        <f t="shared" si="0"/>
        <v>1.00076982294072</v>
      </c>
      <c r="O14" s="14">
        <f t="shared" si="1"/>
        <v>0.988461538461539</v>
      </c>
      <c r="P14" s="14">
        <f t="shared" si="2"/>
        <v>0.906787272260713</v>
      </c>
      <c r="Q14" s="14">
        <f t="shared" si="3"/>
        <v>1.02142857142857</v>
      </c>
      <c r="R14" s="9" t="s">
        <v>111</v>
      </c>
    </row>
    <row r="15" ht="16.5" spans="1:18">
      <c r="A15" s="20" t="s">
        <v>59</v>
      </c>
      <c r="B15" s="28" t="s">
        <v>112</v>
      </c>
      <c r="C15" s="21" t="s">
        <v>106</v>
      </c>
      <c r="D15" s="9" t="s">
        <v>78</v>
      </c>
      <c r="E15" s="21">
        <v>63</v>
      </c>
      <c r="F15" s="9" t="s">
        <v>103</v>
      </c>
      <c r="G15" s="21">
        <v>180</v>
      </c>
      <c r="H15" s="21">
        <v>540</v>
      </c>
      <c r="I15" s="13">
        <f>IF($A15="","",SUMIF(生产明细!$C:$C,$A15,生产明细!$H:$H))</f>
        <v>760</v>
      </c>
      <c r="J15" s="29">
        <v>4.22</v>
      </c>
      <c r="K15" s="13">
        <f>IF($A15="","",SUMIF(生产明细!$C:$C,$A15,生产明细!$I:$I))</f>
        <v>2400</v>
      </c>
      <c r="L15" s="13">
        <f>IF($A15="","",SUMIF(生产明细!$C:$C,$A15,生产明细!$K:$K))</f>
        <v>14</v>
      </c>
      <c r="M15" s="14">
        <f>IF($G15="","",$G15/基础配置!$B$3)</f>
        <v>0.25</v>
      </c>
      <c r="N15" s="14">
        <f t="shared" si="0"/>
        <v>1.00052659294365</v>
      </c>
      <c r="O15" s="14">
        <f t="shared" si="1"/>
        <v>0.981578947368421</v>
      </c>
      <c r="P15" s="14">
        <f t="shared" si="2"/>
        <v>0.245523959978936</v>
      </c>
      <c r="Q15" s="14">
        <f t="shared" si="3"/>
        <v>0.316666666666667</v>
      </c>
      <c r="R15" s="9" t="s">
        <v>113</v>
      </c>
    </row>
    <row r="16" ht="16.5" spans="1:18">
      <c r="A16" s="20" t="s">
        <v>61</v>
      </c>
      <c r="B16" s="28" t="s">
        <v>114</v>
      </c>
      <c r="C16" s="21" t="s">
        <v>106</v>
      </c>
      <c r="D16" s="9" t="s">
        <v>86</v>
      </c>
      <c r="E16" s="21">
        <v>200</v>
      </c>
      <c r="F16" s="9" t="s">
        <v>12</v>
      </c>
      <c r="G16" s="21">
        <v>240</v>
      </c>
      <c r="H16" s="21">
        <v>480</v>
      </c>
      <c r="I16" s="13">
        <f>IF($A16="","",SUMIF(生产明细!$C:$C,$A16,生产明细!$H:$H))</f>
        <v>640</v>
      </c>
      <c r="J16" s="29">
        <v>2.67</v>
      </c>
      <c r="K16" s="13">
        <f>IF($A16="","",SUMIF(生产明细!$C:$C,$A16,生产明细!$I:$I))</f>
        <v>1500</v>
      </c>
      <c r="L16" s="13">
        <f>IF($A16="","",SUMIF(生产明细!$C:$C,$A16,生产明细!$K:$K))</f>
        <v>12</v>
      </c>
      <c r="M16" s="14">
        <f>IF($G16="","",$G16/基础配置!$B$3)</f>
        <v>0.333333333333333</v>
      </c>
      <c r="N16" s="14">
        <f t="shared" si="0"/>
        <v>0.998751560549313</v>
      </c>
      <c r="O16" s="14">
        <f t="shared" si="1"/>
        <v>0.98125</v>
      </c>
      <c r="P16" s="14">
        <f t="shared" si="2"/>
        <v>0.326674989596338</v>
      </c>
      <c r="Q16" s="14">
        <f t="shared" si="3"/>
        <v>0.426666666666667</v>
      </c>
      <c r="R16" s="9" t="s">
        <v>115</v>
      </c>
    </row>
    <row r="17" ht="16.5" spans="1:18">
      <c r="A17" s="22" t="s">
        <v>64</v>
      </c>
      <c r="B17" s="30" t="s">
        <v>116</v>
      </c>
      <c r="C17" s="21" t="s">
        <v>77</v>
      </c>
      <c r="D17" s="9" t="s">
        <v>78</v>
      </c>
      <c r="E17">
        <v>100</v>
      </c>
      <c r="F17" s="9" t="s">
        <v>83</v>
      </c>
      <c r="G17">
        <v>0</v>
      </c>
      <c r="H17">
        <v>60</v>
      </c>
      <c r="I17" s="13">
        <f>IF($A17="","",SUMIF(生产明细!$C:$C,$A17,生产明细!$H:$H))</f>
        <v>140</v>
      </c>
      <c r="J17">
        <v>0</v>
      </c>
      <c r="K17" s="13">
        <f>IF($A17="","",SUMIF(生产明细!$C:$C,$A17,生产明细!$I:$I))</f>
        <v>200</v>
      </c>
      <c r="L17" s="13">
        <f>IF($A17="","",SUMIF(生产明细!$C:$C,$A17,生产明细!$K:$K))</f>
        <v>3</v>
      </c>
      <c r="M17" s="14">
        <f>IF($G17="","",$G17/基础配置!$B$3)</f>
        <v>0</v>
      </c>
      <c r="N17" s="14" t="str">
        <f t="shared" si="0"/>
        <v/>
      </c>
      <c r="O17" s="14">
        <f t="shared" si="1"/>
        <v>0.978571428571429</v>
      </c>
      <c r="P17" s="14" t="str">
        <f t="shared" si="2"/>
        <v/>
      </c>
      <c r="Q17" s="14">
        <f t="shared" si="3"/>
        <v>0.7</v>
      </c>
      <c r="R17" s="31" t="s">
        <v>117</v>
      </c>
    </row>
    <row r="18" ht="16.5" spans="1:18">
      <c r="A18" s="22"/>
      <c r="B18" s="30"/>
      <c r="R18" s="32"/>
    </row>
    <row r="19" ht="16.5" spans="1:18">
      <c r="A19" s="22"/>
      <c r="B19" s="30"/>
      <c r="R19" s="32"/>
    </row>
    <row r="20" ht="16.5" spans="1:18">
      <c r="A20" s="22"/>
      <c r="B20" s="30"/>
      <c r="R20" s="32"/>
    </row>
    <row r="21" ht="16.5" spans="1:18">
      <c r="A21" s="22"/>
      <c r="B21" s="30"/>
      <c r="R21" s="32"/>
    </row>
    <row r="22" ht="16.5" spans="1:18">
      <c r="A22" s="22"/>
      <c r="B22" s="30"/>
      <c r="R22" s="32"/>
    </row>
    <row r="23" ht="16.5" spans="1:18">
      <c r="A23" s="22"/>
      <c r="B23" s="30"/>
      <c r="R23" s="32"/>
    </row>
    <row r="24" ht="16.5" spans="1:18">
      <c r="A24" s="22"/>
      <c r="B24" s="30"/>
      <c r="R24" s="32"/>
    </row>
    <row r="25" ht="16.5" spans="1:18">
      <c r="A25" s="22"/>
      <c r="B25" s="30"/>
      <c r="R25" s="32"/>
    </row>
    <row r="26" ht="16.5" spans="1:18">
      <c r="A26" s="22"/>
      <c r="B26" s="30"/>
      <c r="R26" s="32"/>
    </row>
    <row r="27" ht="16.5" spans="1:18">
      <c r="A27" s="22"/>
      <c r="B27" s="30"/>
      <c r="R27" s="32"/>
    </row>
    <row r="28" ht="16.5" spans="1:18">
      <c r="A28" s="22"/>
      <c r="B28" s="30"/>
      <c r="R28" s="32"/>
    </row>
    <row r="29" ht="16.5" spans="1:18">
      <c r="A29" s="22"/>
      <c r="B29" s="30"/>
      <c r="R29" s="32"/>
    </row>
    <row r="30" ht="16.5" spans="1:18">
      <c r="A30" s="22"/>
      <c r="B30" s="30"/>
      <c r="R30" s="32"/>
    </row>
    <row r="31" ht="16.5" spans="1:18">
      <c r="A31" s="22"/>
      <c r="B31" s="30"/>
      <c r="R31" s="32"/>
    </row>
    <row r="32" ht="16.5" spans="1:18">
      <c r="A32" s="22"/>
      <c r="B32" s="30"/>
      <c r="R32" s="32"/>
    </row>
    <row r="33" ht="16.5" spans="1:18">
      <c r="A33" s="22"/>
      <c r="B33" s="30"/>
      <c r="R33" s="32"/>
    </row>
    <row r="34" ht="16.5" spans="1:18">
      <c r="A34" s="22"/>
      <c r="B34" s="30"/>
      <c r="R34" s="32"/>
    </row>
    <row r="35" ht="16.5" spans="1:18">
      <c r="A35" s="22"/>
      <c r="B35" s="30"/>
      <c r="R35" s="32"/>
    </row>
    <row r="36" ht="16.5" spans="1:18">
      <c r="A36" s="22"/>
      <c r="B36" s="30"/>
      <c r="R36" s="32"/>
    </row>
    <row r="37" ht="16.5" spans="1:18">
      <c r="A37" s="22"/>
      <c r="B37" s="30"/>
      <c r="R37" s="32"/>
    </row>
    <row r="38" ht="16.5" spans="1:18">
      <c r="A38" s="22"/>
      <c r="B38" s="30"/>
      <c r="R38" s="32"/>
    </row>
    <row r="39" ht="16.5" spans="1:18">
      <c r="A39" s="22"/>
      <c r="B39" s="30"/>
      <c r="R39" s="32"/>
    </row>
    <row r="40" ht="16.5" spans="1:18">
      <c r="A40" s="22"/>
      <c r="B40" s="30"/>
      <c r="R40" s="32"/>
    </row>
    <row r="41" ht="16.5" spans="1:18">
      <c r="A41" s="22"/>
      <c r="B41" s="30"/>
      <c r="R41" s="32"/>
    </row>
    <row r="42" ht="16.5" spans="1:18">
      <c r="A42" s="22"/>
      <c r="B42" s="30"/>
      <c r="R42" s="32"/>
    </row>
    <row r="43" ht="16.5" spans="1:18">
      <c r="A43" s="22"/>
      <c r="B43" s="30"/>
      <c r="R43" s="32"/>
    </row>
    <row r="44" ht="16.5" spans="1:18">
      <c r="A44" s="22"/>
      <c r="B44" s="30"/>
      <c r="R44" s="32"/>
    </row>
    <row r="45" ht="16.5" spans="1:18">
      <c r="A45" s="22"/>
      <c r="B45" s="30"/>
      <c r="R45" s="32"/>
    </row>
    <row r="46" ht="16.5" spans="1:18">
      <c r="A46" s="22"/>
      <c r="B46" s="30"/>
      <c r="R46" s="32"/>
    </row>
    <row r="47" ht="16.5" spans="1:18">
      <c r="A47" s="22"/>
      <c r="B47" s="30"/>
      <c r="R47" s="32"/>
    </row>
    <row r="48" ht="16.5" spans="1:18">
      <c r="A48" s="22"/>
      <c r="B48" s="30"/>
      <c r="R48" s="32"/>
    </row>
    <row r="49" ht="16.5" spans="1:18">
      <c r="A49" s="22"/>
      <c r="B49" s="30"/>
      <c r="R49" s="32"/>
    </row>
    <row r="50" ht="16.5" spans="1:18">
      <c r="A50" s="22"/>
      <c r="B50" s="30"/>
      <c r="R50" s="32"/>
    </row>
    <row r="51" ht="16.5" spans="1:18">
      <c r="A51" s="22"/>
      <c r="B51" s="30"/>
      <c r="R51" s="32"/>
    </row>
    <row r="52" ht="16.5" spans="1:18">
      <c r="A52" s="22"/>
      <c r="B52" s="30"/>
      <c r="R52" s="32"/>
    </row>
    <row r="53" ht="16.5" spans="1:18">
      <c r="A53" s="22"/>
      <c r="B53" s="30"/>
      <c r="R53" s="32"/>
    </row>
    <row r="54" ht="16.5" spans="1:18">
      <c r="A54" s="22"/>
      <c r="B54" s="30"/>
      <c r="R54" s="32"/>
    </row>
    <row r="55" ht="16.5" spans="1:18">
      <c r="A55" s="22"/>
      <c r="B55" s="30"/>
      <c r="R55" s="32"/>
    </row>
    <row r="56" ht="16.5" spans="1:18">
      <c r="A56" s="22"/>
      <c r="B56" s="30"/>
      <c r="R56" s="32"/>
    </row>
    <row r="57" ht="16.5" spans="1:18">
      <c r="A57" s="22"/>
      <c r="B57" s="30"/>
      <c r="R57" s="32"/>
    </row>
    <row r="58" ht="16.5" spans="1:18">
      <c r="A58" s="22"/>
      <c r="B58" s="30"/>
      <c r="R58" s="32"/>
    </row>
    <row r="59" ht="16.5" spans="1:18">
      <c r="A59" s="22"/>
      <c r="B59" s="30"/>
      <c r="R59" s="32"/>
    </row>
    <row r="60" ht="16.5" spans="1:18">
      <c r="A60" s="22"/>
      <c r="B60" s="30"/>
      <c r="R60" s="32"/>
    </row>
    <row r="61" ht="16.5" spans="1:18">
      <c r="A61" s="22"/>
      <c r="B61" s="30"/>
      <c r="R61" s="32"/>
    </row>
    <row r="62" ht="16.5" spans="1:18">
      <c r="A62" s="22"/>
      <c r="B62" s="30"/>
      <c r="R62" s="32"/>
    </row>
    <row r="63" ht="16.5" spans="1:18">
      <c r="A63" s="22"/>
      <c r="B63" s="30"/>
      <c r="R63" s="32"/>
    </row>
    <row r="64" ht="16.5" spans="1:18">
      <c r="A64" s="22"/>
      <c r="B64" s="30"/>
      <c r="R64" s="32"/>
    </row>
    <row r="65" ht="16.5" spans="1:18">
      <c r="A65" s="22"/>
      <c r="B65" s="30"/>
      <c r="R65" s="32"/>
    </row>
    <row r="66" ht="16.5" spans="1:18">
      <c r="A66" s="22"/>
      <c r="B66" s="30"/>
      <c r="R66" s="32"/>
    </row>
    <row r="67" ht="16.5" spans="1:18">
      <c r="A67" s="22"/>
      <c r="B67" s="30"/>
      <c r="R67" s="32"/>
    </row>
    <row r="68" ht="16.5" spans="1:18">
      <c r="A68" s="22"/>
      <c r="B68" s="30"/>
      <c r="R68" s="32"/>
    </row>
    <row r="69" ht="16.5" spans="1:18">
      <c r="A69" s="22"/>
      <c r="B69" s="30"/>
      <c r="R69" s="32"/>
    </row>
    <row r="70" ht="16.5" spans="1:18">
      <c r="A70" s="22"/>
      <c r="B70" s="30"/>
      <c r="R70" s="32"/>
    </row>
    <row r="71" ht="16.5" spans="1:18">
      <c r="A71" s="22"/>
      <c r="B71" s="30"/>
      <c r="R71" s="32"/>
    </row>
    <row r="72" ht="16.5" spans="1:18">
      <c r="A72" s="22"/>
      <c r="B72" s="30"/>
      <c r="R72" s="32"/>
    </row>
    <row r="73" ht="16.5" spans="1:18">
      <c r="A73" s="22"/>
      <c r="B73" s="30"/>
      <c r="R73" s="32"/>
    </row>
    <row r="74" ht="16.5" spans="1:18">
      <c r="A74" s="22"/>
      <c r="B74" s="30"/>
      <c r="R74" s="32"/>
    </row>
    <row r="75" ht="16.5" spans="1:18">
      <c r="A75" s="22"/>
      <c r="B75" s="30"/>
      <c r="R75" s="32"/>
    </row>
    <row r="76" ht="16.5" spans="1:18">
      <c r="A76" s="22"/>
      <c r="B76" s="30"/>
      <c r="R76" s="32"/>
    </row>
    <row r="77" ht="16.5" spans="1:18">
      <c r="A77" s="22"/>
      <c r="B77" s="30"/>
      <c r="R77" s="32"/>
    </row>
    <row r="78" ht="16.5" spans="1:18">
      <c r="A78" s="22"/>
      <c r="B78" s="30"/>
      <c r="R78" s="32"/>
    </row>
    <row r="79" ht="16.5" spans="1:18">
      <c r="A79" s="22"/>
      <c r="B79" s="30"/>
      <c r="R79" s="32"/>
    </row>
    <row r="80" ht="16.5" spans="1:18">
      <c r="A80" s="22"/>
      <c r="B80" s="30"/>
      <c r="R80" s="32"/>
    </row>
    <row r="81" ht="16.5" spans="1:18">
      <c r="A81" s="22"/>
      <c r="B81" s="30"/>
      <c r="R81" s="32"/>
    </row>
    <row r="82" ht="16.5" spans="1:18">
      <c r="A82" s="22"/>
      <c r="B82" s="30"/>
      <c r="R82" s="32"/>
    </row>
    <row r="83" ht="16.5" spans="1:18">
      <c r="A83" s="22"/>
      <c r="B83" s="30"/>
      <c r="R83" s="32"/>
    </row>
    <row r="84" ht="16.5" spans="1:18">
      <c r="A84" s="22"/>
      <c r="B84" s="30"/>
      <c r="R84" s="32"/>
    </row>
    <row r="85" ht="16.5" spans="1:18">
      <c r="A85" s="22"/>
      <c r="B85" s="30"/>
      <c r="R85" s="32"/>
    </row>
    <row r="86" ht="16.5" spans="1:18">
      <c r="A86" s="22"/>
      <c r="B86" s="30"/>
      <c r="R86" s="32"/>
    </row>
    <row r="87" ht="16.5" spans="1:18">
      <c r="A87" s="22"/>
      <c r="B87" s="30"/>
      <c r="R87" s="32"/>
    </row>
    <row r="88" ht="16.5" spans="1:18">
      <c r="A88" s="22"/>
      <c r="B88" s="30"/>
      <c r="R88" s="32"/>
    </row>
    <row r="89" ht="16.5" spans="1:18">
      <c r="A89" s="22"/>
      <c r="B89" s="30"/>
      <c r="R89" s="32"/>
    </row>
    <row r="90" ht="16.5" spans="1:18">
      <c r="A90" s="22"/>
      <c r="B90" s="30"/>
      <c r="R90" s="32"/>
    </row>
    <row r="91" ht="16.5" spans="1:18">
      <c r="A91" s="22"/>
      <c r="B91" s="30"/>
      <c r="R91" s="32"/>
    </row>
    <row r="92" ht="16.5" spans="1:18">
      <c r="A92" s="22"/>
      <c r="B92" s="30"/>
      <c r="R92" s="32"/>
    </row>
    <row r="93" ht="16.5" spans="1:18">
      <c r="A93" s="22"/>
      <c r="B93" s="30"/>
      <c r="R93" s="32"/>
    </row>
    <row r="94" ht="16.5" spans="1:18">
      <c r="A94" s="22"/>
      <c r="B94" s="30"/>
      <c r="R94" s="32"/>
    </row>
    <row r="95" ht="16.5" spans="1:18">
      <c r="A95" s="22"/>
      <c r="B95" s="30"/>
      <c r="R95" s="32"/>
    </row>
    <row r="96" ht="16.5" spans="1:18">
      <c r="A96" s="22"/>
      <c r="B96" s="30"/>
      <c r="R96" s="32"/>
    </row>
    <row r="97" ht="16.5" spans="1:18">
      <c r="A97" s="22"/>
      <c r="B97" s="30"/>
      <c r="R97" s="32"/>
    </row>
    <row r="98" ht="16.5" spans="1:18">
      <c r="A98" s="22"/>
      <c r="B98" s="30"/>
      <c r="R98" s="32"/>
    </row>
    <row r="99" ht="16.5" spans="1:18">
      <c r="A99" s="22"/>
      <c r="B99" s="30"/>
      <c r="R99" s="32"/>
    </row>
    <row r="100" ht="16.5" spans="1:18">
      <c r="A100" s="22"/>
      <c r="B100" s="30"/>
      <c r="R100" s="32"/>
    </row>
    <row r="101" ht="16.5" spans="1:18">
      <c r="A101" s="22"/>
      <c r="B101" s="30"/>
      <c r="R101" s="32"/>
    </row>
    <row r="102" ht="16.5" spans="1:18">
      <c r="A102" s="22"/>
      <c r="B102" s="30"/>
      <c r="R102" s="32"/>
    </row>
    <row r="103" ht="16.5" spans="1:18">
      <c r="A103" s="22"/>
      <c r="B103" s="30"/>
      <c r="R103" s="32"/>
    </row>
    <row r="104" ht="16.5" spans="1:18">
      <c r="A104" s="22"/>
      <c r="B104" s="30"/>
      <c r="R104" s="32"/>
    </row>
    <row r="105" ht="16.5" spans="1:18">
      <c r="A105" s="22"/>
      <c r="B105" s="30"/>
      <c r="R105" s="32"/>
    </row>
    <row r="106" ht="16.5" spans="1:18">
      <c r="A106" s="22"/>
      <c r="B106" s="30"/>
      <c r="R106" s="32"/>
    </row>
    <row r="107" ht="16.5" spans="1:18">
      <c r="A107" s="22"/>
      <c r="B107" s="30"/>
      <c r="R107" s="32"/>
    </row>
    <row r="108" ht="16.5" spans="1:18">
      <c r="A108" s="22"/>
      <c r="B108" s="30"/>
      <c r="R108" s="32"/>
    </row>
    <row r="109" ht="16.5" spans="1:18">
      <c r="A109" s="22"/>
      <c r="B109" s="30"/>
      <c r="R109" s="32"/>
    </row>
    <row r="110" ht="16.5" spans="1:18">
      <c r="A110" s="22"/>
      <c r="B110" s="30"/>
      <c r="R110" s="32"/>
    </row>
    <row r="111" ht="16.5" spans="1:18">
      <c r="A111" s="22"/>
      <c r="B111" s="30"/>
      <c r="R111" s="32"/>
    </row>
    <row r="112" ht="16.5" spans="1:18">
      <c r="A112" s="22"/>
      <c r="B112" s="30"/>
      <c r="R112" s="32"/>
    </row>
    <row r="113" ht="16.5" spans="1:18">
      <c r="A113" s="22"/>
      <c r="B113" s="30"/>
      <c r="R113" s="32"/>
    </row>
    <row r="114" ht="16.5" spans="1:18">
      <c r="A114" s="22"/>
      <c r="B114" s="30"/>
      <c r="R114" s="32"/>
    </row>
    <row r="115" ht="16.5" spans="1:18">
      <c r="A115" s="22"/>
      <c r="B115" s="30"/>
      <c r="R115" s="32"/>
    </row>
    <row r="116" ht="16.5" spans="1:18">
      <c r="A116" s="22"/>
      <c r="B116" s="30"/>
      <c r="R116" s="32"/>
    </row>
    <row r="117" ht="16.5" spans="1:18">
      <c r="A117" s="22"/>
      <c r="B117" s="30"/>
      <c r="R117" s="32"/>
    </row>
    <row r="118" ht="16.5" spans="1:18">
      <c r="A118" s="22"/>
      <c r="B118" s="30"/>
      <c r="R118" s="32"/>
    </row>
    <row r="119" ht="16.5" spans="1:18">
      <c r="A119" s="22"/>
      <c r="B119" s="30"/>
      <c r="R119" s="32"/>
    </row>
    <row r="120" ht="16.5" spans="1:18">
      <c r="A120" s="22"/>
      <c r="B120" s="30"/>
      <c r="R120" s="32"/>
    </row>
    <row r="121" ht="16.5" spans="1:18">
      <c r="A121" s="22"/>
      <c r="B121" s="30"/>
      <c r="R121" s="32"/>
    </row>
    <row r="122" ht="16.5" spans="1:18">
      <c r="A122" s="22"/>
      <c r="B122" s="30"/>
      <c r="R122" s="32"/>
    </row>
    <row r="123" ht="16.5" spans="1:18">
      <c r="A123" s="22"/>
      <c r="B123" s="30"/>
      <c r="R123" s="32"/>
    </row>
    <row r="124" ht="16.5" spans="1:18">
      <c r="A124" s="22"/>
      <c r="B124" s="30"/>
      <c r="R124" s="32"/>
    </row>
    <row r="125" ht="16.5" spans="1:18">
      <c r="A125" s="22"/>
      <c r="B125" s="30"/>
      <c r="R125" s="32"/>
    </row>
    <row r="126" ht="16.5" spans="1:18">
      <c r="A126" s="22"/>
      <c r="B126" s="30"/>
      <c r="R126" s="32"/>
    </row>
    <row r="127" ht="16.5" spans="1:18">
      <c r="A127" s="22"/>
      <c r="B127" s="30"/>
      <c r="R127" s="32"/>
    </row>
    <row r="128" ht="16.5" spans="1:18">
      <c r="A128" s="22"/>
      <c r="B128" s="30"/>
      <c r="R128" s="32"/>
    </row>
    <row r="129" ht="16.5" spans="1:18">
      <c r="A129" s="22"/>
      <c r="B129" s="30"/>
      <c r="R129" s="32"/>
    </row>
    <row r="130" ht="16.5" spans="1:18">
      <c r="A130" s="22"/>
      <c r="B130" s="30"/>
      <c r="R130" s="32"/>
    </row>
    <row r="131" ht="16.5" spans="1:18">
      <c r="A131" s="22"/>
      <c r="B131" s="30"/>
      <c r="R131" s="32"/>
    </row>
    <row r="132" ht="16.5" spans="1:18">
      <c r="A132" s="22"/>
      <c r="B132" s="30"/>
      <c r="R132" s="32"/>
    </row>
    <row r="133" ht="16.5" spans="1:18">
      <c r="A133" s="22"/>
      <c r="B133" s="30"/>
      <c r="R133" s="32"/>
    </row>
    <row r="134" ht="16.5" spans="1:18">
      <c r="A134" s="22"/>
      <c r="B134" s="30"/>
      <c r="R134" s="32"/>
    </row>
    <row r="135" ht="16.5" spans="1:18">
      <c r="A135" s="22"/>
      <c r="B135" s="30"/>
      <c r="R135" s="32"/>
    </row>
    <row r="136" ht="16.5" spans="1:18">
      <c r="A136" s="22"/>
      <c r="B136" s="30"/>
      <c r="R136" s="32"/>
    </row>
    <row r="137" ht="16.5" spans="1:18">
      <c r="A137" s="22"/>
      <c r="B137" s="30"/>
      <c r="R137" s="32"/>
    </row>
    <row r="138" ht="16.5" spans="1:18">
      <c r="A138" s="22"/>
      <c r="B138" s="30"/>
      <c r="R138" s="32"/>
    </row>
    <row r="139" ht="16.5" spans="1:18">
      <c r="A139" s="22"/>
      <c r="B139" s="30"/>
      <c r="R139" s="32"/>
    </row>
    <row r="140" ht="16.5" spans="1:18">
      <c r="A140" s="22"/>
      <c r="B140" s="30"/>
      <c r="R140" s="32"/>
    </row>
    <row r="141" ht="16.5" spans="1:18">
      <c r="A141" s="22"/>
      <c r="B141" s="30"/>
      <c r="R141" s="32"/>
    </row>
    <row r="142" ht="16.5" spans="1:18">
      <c r="A142" s="22"/>
      <c r="B142" s="30"/>
      <c r="R142" s="32"/>
    </row>
    <row r="143" ht="16.5" spans="1:18">
      <c r="A143" s="22"/>
      <c r="B143" s="30"/>
      <c r="R143" s="32"/>
    </row>
    <row r="144" ht="16.5" spans="1:18">
      <c r="A144" s="22"/>
      <c r="B144" s="30"/>
      <c r="R144" s="32"/>
    </row>
    <row r="145" ht="16.5" spans="1:18">
      <c r="A145" s="22"/>
      <c r="B145" s="30"/>
      <c r="R145" s="32"/>
    </row>
    <row r="146" ht="16.5" spans="1:18">
      <c r="A146" s="22"/>
      <c r="B146" s="30"/>
      <c r="R146" s="32"/>
    </row>
    <row r="147" ht="16.5" spans="1:18">
      <c r="A147" s="22"/>
      <c r="B147" s="30"/>
      <c r="R147" s="32"/>
    </row>
    <row r="148" ht="16.5" spans="1:18">
      <c r="A148" s="22"/>
      <c r="B148" s="30"/>
      <c r="R148" s="32"/>
    </row>
    <row r="149" ht="16.5" spans="1:18">
      <c r="A149" s="22"/>
      <c r="B149" s="30"/>
      <c r="R149" s="32"/>
    </row>
    <row r="150" ht="16.5" spans="1:18">
      <c r="A150" s="22"/>
      <c r="B150" s="30"/>
      <c r="R150" s="32"/>
    </row>
    <row r="151" ht="16.5" spans="1:18">
      <c r="A151" s="22"/>
      <c r="B151" s="30"/>
      <c r="R151" s="32"/>
    </row>
    <row r="152" ht="16.5" spans="1:18">
      <c r="A152" s="22"/>
      <c r="B152" s="30"/>
      <c r="R152" s="32"/>
    </row>
    <row r="153" ht="16.5" spans="1:18">
      <c r="A153" s="22"/>
      <c r="B153" s="30"/>
      <c r="R153" s="32"/>
    </row>
    <row r="154" ht="16.5" spans="1:18">
      <c r="A154" s="22"/>
      <c r="B154" s="30"/>
      <c r="R154" s="32"/>
    </row>
    <row r="155" ht="16.5" spans="1:18">
      <c r="A155" s="22"/>
      <c r="B155" s="30"/>
      <c r="R155" s="32"/>
    </row>
    <row r="156" ht="16.5" spans="1:18">
      <c r="A156" s="22"/>
      <c r="B156" s="30"/>
      <c r="R156" s="32"/>
    </row>
    <row r="157" ht="16.5" spans="1:18">
      <c r="A157" s="22"/>
      <c r="B157" s="30"/>
      <c r="R157" s="32"/>
    </row>
    <row r="158" ht="16.5" spans="1:18">
      <c r="A158" s="22"/>
      <c r="B158" s="30"/>
      <c r="R158" s="32"/>
    </row>
    <row r="159" ht="16.5" spans="1:18">
      <c r="A159" s="22"/>
      <c r="B159" s="30"/>
      <c r="R159" s="32"/>
    </row>
    <row r="160" ht="16.5" spans="1:18">
      <c r="A160" s="22"/>
      <c r="B160" s="30"/>
      <c r="R160" s="32"/>
    </row>
    <row r="161" ht="16.5" spans="1:18">
      <c r="A161" s="22"/>
      <c r="B161" s="30"/>
      <c r="R161" s="32"/>
    </row>
    <row r="162" ht="16.5" spans="1:18">
      <c r="A162" s="22"/>
      <c r="B162" s="30"/>
      <c r="R162" s="32"/>
    </row>
    <row r="163" ht="16.5" spans="1:18">
      <c r="A163" s="22"/>
      <c r="B163" s="30"/>
      <c r="R163" s="32"/>
    </row>
    <row r="164" ht="16.5" spans="1:18">
      <c r="A164" s="22"/>
      <c r="B164" s="30"/>
      <c r="R164" s="32"/>
    </row>
    <row r="165" ht="16.5" spans="1:18">
      <c r="A165" s="22"/>
      <c r="B165" s="30"/>
      <c r="R165" s="32"/>
    </row>
    <row r="166" ht="16.5" spans="1:18">
      <c r="A166" s="22"/>
      <c r="B166" s="30"/>
      <c r="R166" s="32"/>
    </row>
    <row r="167" ht="16.5" spans="1:18">
      <c r="A167" s="22"/>
      <c r="B167" s="30"/>
      <c r="R167" s="32"/>
    </row>
    <row r="168" ht="16.5" spans="1:18">
      <c r="A168" s="22"/>
      <c r="B168" s="30"/>
      <c r="R168" s="32"/>
    </row>
    <row r="169" ht="16.5" spans="1:18">
      <c r="A169" s="22"/>
      <c r="B169" s="30"/>
      <c r="R169" s="32"/>
    </row>
    <row r="170" ht="16.5" spans="1:18">
      <c r="A170" s="22"/>
      <c r="B170" s="30"/>
      <c r="R170" s="32"/>
    </row>
    <row r="171" ht="16.5" spans="1:18">
      <c r="A171" s="22"/>
      <c r="B171" s="30"/>
      <c r="R171" s="32"/>
    </row>
    <row r="172" ht="16.5" spans="1:18">
      <c r="A172" s="22"/>
      <c r="B172" s="30"/>
      <c r="R172" s="32"/>
    </row>
    <row r="173" ht="16.5" spans="1:18">
      <c r="A173" s="22"/>
      <c r="B173" s="30"/>
      <c r="R173" s="32"/>
    </row>
    <row r="174" ht="16.5" spans="1:18">
      <c r="A174" s="22"/>
      <c r="B174" s="30"/>
      <c r="R174" s="32"/>
    </row>
    <row r="175" ht="16.5" spans="1:18">
      <c r="A175" s="22"/>
      <c r="B175" s="30"/>
      <c r="R175" s="32"/>
    </row>
    <row r="176" ht="16.5" spans="1:18">
      <c r="A176" s="22"/>
      <c r="B176" s="30"/>
      <c r="R176" s="32"/>
    </row>
    <row r="177" ht="16.5" spans="1:18">
      <c r="A177" s="22"/>
      <c r="B177" s="30"/>
      <c r="R177" s="32"/>
    </row>
    <row r="178" ht="16.5" spans="1:18">
      <c r="A178" s="22"/>
      <c r="B178" s="30"/>
      <c r="R178" s="32"/>
    </row>
    <row r="179" ht="16.5" spans="1:18">
      <c r="A179" s="22"/>
      <c r="B179" s="30"/>
      <c r="R179" s="32"/>
    </row>
    <row r="180" ht="16.5" spans="1:18">
      <c r="A180" s="22"/>
      <c r="B180" s="30"/>
      <c r="R180" s="32"/>
    </row>
    <row r="181" ht="16.5" spans="1:18">
      <c r="A181" s="33"/>
      <c r="B181" s="30"/>
      <c r="R181" s="3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R17" etc:filterBottomFollowUsedRange="0">
    <extLst/>
  </autoFilter>
  <conditionalFormatting sqref="F2:F17">
    <cfRule type="cellIs" dxfId="0" priority="2" operator="equal">
      <formula>"运行"</formula>
    </cfRule>
    <cfRule type="cellIs" dxfId="2" priority="3" operator="equal">
      <formula>"待机"</formula>
    </cfRule>
    <cfRule type="cellIs" dxfId="3" priority="4" operator="equal">
      <formula>"调模"</formula>
    </cfRule>
    <cfRule type="cellIs" dxfId="1" priority="5" operator="equal">
      <formula>"故障停机"</formula>
    </cfRule>
    <cfRule type="cellIs" dxfId="4" priority="6" operator="equal">
      <formula>"计划保养"</formula>
    </cfRule>
  </conditionalFormatting>
  <conditionalFormatting sqref="P2:P17">
    <cfRule type="cellIs" dxfId="5" priority="7" operator="greaterThanOrEqual">
      <formula>0.75</formula>
    </cfRule>
    <cfRule type="cellIs" dxfId="6" priority="8" operator="lessThan">
      <formula>0.6</formula>
    </cfRule>
  </conditionalFormatting>
  <conditionalFormatting sqref="Q2:Q17">
    <cfRule type="cellIs" dxfId="0" priority="9" operator="greaterThanOrEqual">
      <formula>1</formula>
    </cfRule>
    <cfRule type="cellIs" dxfId="1" priority="10" operator="lessThan">
      <formula>0.8</formula>
    </cfRule>
  </conditionalFormatting>
  <dataValidations count="1">
    <dataValidation type="list" allowBlank="1" sqref="F2:F17">
      <formula1>"运行,待机,调模,故障停机,计划保养"</formula1>
    </dataValidation>
  </dataValidations>
  <pageMargins left="0.75" right="0.75" top="1" bottom="1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pane ySplit="1" topLeftCell="A2" activePane="bottomLeft" state="frozen"/>
      <selection/>
      <selection pane="bottomLeft" activeCell="I26" sqref="I26"/>
    </sheetView>
  </sheetViews>
  <sheetFormatPr defaultColWidth="8.6" defaultRowHeight="15"/>
  <cols>
    <col min="1" max="1" width="11" customWidth="1"/>
    <col min="2" max="2" width="14" customWidth="1"/>
    <col min="3" max="3" width="10" customWidth="1"/>
    <col min="4" max="4" width="14" customWidth="1"/>
    <col min="5" max="5" width="17.5714285714286" customWidth="1"/>
    <col min="6" max="6" width="10" customWidth="1"/>
    <col min="7" max="8" width="11" customWidth="1"/>
    <col min="9" max="9" width="10" customWidth="1"/>
    <col min="10" max="10" width="12" customWidth="1"/>
    <col min="11" max="12" width="13" customWidth="1"/>
    <col min="13" max="13" width="9" customWidth="1"/>
    <col min="14" max="14" width="14" customWidth="1"/>
  </cols>
  <sheetData>
    <row r="1" ht="25.5" customHeight="1" spans="1:14">
      <c r="A1" s="8" t="s">
        <v>118</v>
      </c>
      <c r="B1" s="8" t="s">
        <v>119</v>
      </c>
      <c r="C1" s="8" t="s">
        <v>120</v>
      </c>
      <c r="D1" s="8" t="s">
        <v>21</v>
      </c>
      <c r="E1" s="8" t="s">
        <v>22</v>
      </c>
      <c r="F1" s="8" t="s">
        <v>121</v>
      </c>
      <c r="G1" s="8" t="s">
        <v>122</v>
      </c>
      <c r="H1" s="8" t="s">
        <v>123</v>
      </c>
      <c r="I1" s="8" t="s">
        <v>124</v>
      </c>
      <c r="J1" s="8" t="s">
        <v>125</v>
      </c>
      <c r="K1" s="8" t="s">
        <v>126</v>
      </c>
      <c r="L1" s="8" t="s">
        <v>127</v>
      </c>
      <c r="M1" s="8" t="s">
        <v>75</v>
      </c>
      <c r="N1" s="8" t="s">
        <v>128</v>
      </c>
    </row>
    <row r="2" ht="16.5" spans="1:14">
      <c r="A2" s="20" t="s">
        <v>129</v>
      </c>
      <c r="B2" s="4" t="s">
        <v>130</v>
      </c>
      <c r="C2" s="20" t="s">
        <v>29</v>
      </c>
      <c r="D2" s="21" t="str">
        <f>IF($C2="","",IFERROR(VLOOKUP($C2,设备状态!$A:$C,3,0),""))</f>
        <v>一号冲压车间</v>
      </c>
      <c r="E2" s="23" t="s">
        <v>131</v>
      </c>
      <c r="F2" s="9" t="s">
        <v>132</v>
      </c>
      <c r="G2" s="13">
        <v>182400</v>
      </c>
      <c r="H2" s="13">
        <v>200000</v>
      </c>
      <c r="I2" s="14">
        <f t="shared" ref="I2:I20" si="0">IF(OR($G2="",$H2="",$H2=0),"",$G2/$H2)</f>
        <v>0.912</v>
      </c>
      <c r="J2" s="13">
        <f t="shared" ref="J2:J20" si="1">IF(OR($G2="",$H2=""),"",MAX($H2-$G2,0))</f>
        <v>17600</v>
      </c>
      <c r="K2" s="24">
        <v>46221</v>
      </c>
      <c r="L2" s="24">
        <v>46254</v>
      </c>
      <c r="M2" s="9" t="s">
        <v>79</v>
      </c>
      <c r="N2" s="21" t="str">
        <f>IF($F2="","",IF(AND($F2="在用",$I2&lt;&gt;""),IF($I2&gt;=1,"超寿命待研磨",IF($I2&gt;=基础配置!$B$4,"寿命预警",$F2)),$F2))</f>
        <v>寿命预警</v>
      </c>
    </row>
    <row r="3" ht="16.5" spans="1:14">
      <c r="A3" s="20" t="s">
        <v>133</v>
      </c>
      <c r="B3" s="4" t="s">
        <v>134</v>
      </c>
      <c r="C3" s="20" t="s">
        <v>31</v>
      </c>
      <c r="D3" s="21" t="str">
        <f>IF($C3="","",IFERROR(VLOOKUP($C3,设备状态!$A:$C,3,0),""))</f>
        <v>一号冲压车间</v>
      </c>
      <c r="E3" s="23" t="s">
        <v>135</v>
      </c>
      <c r="F3" s="9" t="s">
        <v>132</v>
      </c>
      <c r="G3" s="13">
        <v>96400</v>
      </c>
      <c r="H3" s="13">
        <v>150000</v>
      </c>
      <c r="I3" s="14">
        <f t="shared" si="0"/>
        <v>0.642666666666667</v>
      </c>
      <c r="J3" s="13">
        <f t="shared" si="1"/>
        <v>53600</v>
      </c>
      <c r="K3" s="24">
        <v>46239</v>
      </c>
      <c r="L3" s="24">
        <v>46267</v>
      </c>
      <c r="M3" s="9" t="s">
        <v>81</v>
      </c>
      <c r="N3" s="21" t="str">
        <f>IF($F3="","",IF(AND($F3="在用",$I3&lt;&gt;""),IF($I3&gt;=1,"超寿命待研磨",IF($I3&gt;=基础配置!$B$4,"寿命预警",$F3)),$F3))</f>
        <v>在用</v>
      </c>
    </row>
    <row r="4" ht="16.5" spans="1:14">
      <c r="A4" s="20" t="s">
        <v>136</v>
      </c>
      <c r="B4" s="4" t="s">
        <v>137</v>
      </c>
      <c r="C4" s="20" t="s">
        <v>33</v>
      </c>
      <c r="D4" s="21" t="str">
        <f>IF($C4="","",IFERROR(VLOOKUP($C4,设备状态!$A:$C,3,0),""))</f>
        <v>一号冲压车间</v>
      </c>
      <c r="E4" s="23" t="s">
        <v>138</v>
      </c>
      <c r="F4" s="9" t="s">
        <v>132</v>
      </c>
      <c r="G4" s="13">
        <v>148200</v>
      </c>
      <c r="H4" s="13">
        <v>150000</v>
      </c>
      <c r="I4" s="14">
        <f t="shared" si="0"/>
        <v>0.988</v>
      </c>
      <c r="J4" s="13">
        <f t="shared" si="1"/>
        <v>1800</v>
      </c>
      <c r="K4" s="24">
        <v>46201</v>
      </c>
      <c r="L4" s="24">
        <v>46245</v>
      </c>
      <c r="M4" s="9" t="s">
        <v>84</v>
      </c>
      <c r="N4" s="21" t="str">
        <f>IF($F4="","",IF(AND($F4="在用",$I4&lt;&gt;""),IF($I4&gt;=1,"超寿命待研磨",IF($I4&gt;=基础配置!$B$4,"寿命预警",$F4)),$F4))</f>
        <v>寿命预警</v>
      </c>
    </row>
    <row r="5" ht="16.5" spans="1:14">
      <c r="A5" s="20" t="s">
        <v>139</v>
      </c>
      <c r="B5" s="4" t="s">
        <v>140</v>
      </c>
      <c r="C5" s="20" t="s">
        <v>36</v>
      </c>
      <c r="D5" s="21" t="str">
        <f>IF($C5="","",IFERROR(VLOOKUP($C5,设备状态!$A:$C,3,0),""))</f>
        <v>一号冲压车间</v>
      </c>
      <c r="E5" s="23" t="s">
        <v>131</v>
      </c>
      <c r="F5" s="9" t="s">
        <v>132</v>
      </c>
      <c r="G5" s="13">
        <v>127600</v>
      </c>
      <c r="H5" s="13">
        <v>180000</v>
      </c>
      <c r="I5" s="14">
        <f t="shared" si="0"/>
        <v>0.708888888888889</v>
      </c>
      <c r="J5" s="13">
        <f t="shared" si="1"/>
        <v>52400</v>
      </c>
      <c r="K5" s="24">
        <v>46233</v>
      </c>
      <c r="L5" s="24">
        <v>46260</v>
      </c>
      <c r="M5" s="9" t="s">
        <v>87</v>
      </c>
      <c r="N5" s="21" t="str">
        <f>IF($F5="","",IF(AND($F5="在用",$I5&lt;&gt;""),IF($I5&gt;=1,"超寿命待研磨",IF($I5&gt;=基础配置!$B$4,"寿命预警",$F5)),$F5))</f>
        <v>在用</v>
      </c>
    </row>
    <row r="6" ht="16.5" spans="1:14">
      <c r="A6" s="20" t="s">
        <v>141</v>
      </c>
      <c r="B6" s="4" t="s">
        <v>142</v>
      </c>
      <c r="C6" s="20" t="s">
        <v>39</v>
      </c>
      <c r="D6" s="21" t="str">
        <f>IF($C6="","",IFERROR(VLOOKUP($C6,设备状态!$A:$C,3,0),""))</f>
        <v>一号冲压车间</v>
      </c>
      <c r="E6" s="23" t="s">
        <v>135</v>
      </c>
      <c r="F6" s="9" t="s">
        <v>132</v>
      </c>
      <c r="G6" s="13">
        <v>62800</v>
      </c>
      <c r="H6" s="13">
        <v>120000</v>
      </c>
      <c r="I6" s="14">
        <f t="shared" si="0"/>
        <v>0.523333333333333</v>
      </c>
      <c r="J6" s="13">
        <f t="shared" si="1"/>
        <v>57200</v>
      </c>
      <c r="K6" s="24">
        <v>46256</v>
      </c>
      <c r="L6" s="24">
        <v>46275</v>
      </c>
      <c r="M6" s="9" t="s">
        <v>90</v>
      </c>
      <c r="N6" s="21" t="str">
        <f>IF($F6="","",IF(AND($F6="在用",$I6&lt;&gt;""),IF($I6&gt;=1,"超寿命待研磨",IF($I6&gt;=基础配置!$B$4,"寿命预警",$F6)),$F6))</f>
        <v>在用</v>
      </c>
    </row>
    <row r="7" ht="16.5" spans="1:14">
      <c r="A7" s="20" t="s">
        <v>143</v>
      </c>
      <c r="B7" s="4" t="s">
        <v>144</v>
      </c>
      <c r="C7" s="20" t="s">
        <v>33</v>
      </c>
      <c r="D7" s="21" t="str">
        <f>IF($C7="","",IFERROR(VLOOKUP($C7,设备状态!$A:$C,3,0),""))</f>
        <v>一号冲压车间</v>
      </c>
      <c r="E7" s="23" t="s">
        <v>131</v>
      </c>
      <c r="F7" s="9" t="s">
        <v>145</v>
      </c>
      <c r="G7" s="13">
        <v>41200</v>
      </c>
      <c r="H7" s="13">
        <v>100000</v>
      </c>
      <c r="I7" s="14">
        <f t="shared" si="0"/>
        <v>0.412</v>
      </c>
      <c r="J7" s="13">
        <f t="shared" si="1"/>
        <v>58800</v>
      </c>
      <c r="K7" s="24">
        <v>46248</v>
      </c>
      <c r="L7" s="24">
        <v>46266</v>
      </c>
      <c r="M7" s="9" t="s">
        <v>84</v>
      </c>
      <c r="N7" s="21" t="str">
        <f>IF($F7="","",IF(AND($F7="在用",$I7&lt;&gt;""),IF($I7&gt;=1,"超寿命待研磨",IF($I7&gt;=基础配置!$B$4,"寿命预警",$F7)),$F7))</f>
        <v>待用</v>
      </c>
    </row>
    <row r="8" ht="16.5" spans="1:14">
      <c r="A8" s="20" t="s">
        <v>146</v>
      </c>
      <c r="B8" s="4" t="s">
        <v>147</v>
      </c>
      <c r="C8" s="20" t="s">
        <v>41</v>
      </c>
      <c r="D8" s="21" t="str">
        <f>IF($C8="","",IFERROR(VLOOKUP($C8,设备状态!$A:$C,3,0),""))</f>
        <v>二号冲压车间</v>
      </c>
      <c r="E8" s="23" t="s">
        <v>138</v>
      </c>
      <c r="F8" s="9" t="s">
        <v>132</v>
      </c>
      <c r="G8" s="13">
        <v>232600</v>
      </c>
      <c r="H8" s="13">
        <v>250000</v>
      </c>
      <c r="I8" s="14">
        <f t="shared" si="0"/>
        <v>0.9304</v>
      </c>
      <c r="J8" s="13">
        <f t="shared" si="1"/>
        <v>17400</v>
      </c>
      <c r="K8" s="24">
        <v>46214</v>
      </c>
      <c r="L8" s="24">
        <v>46228</v>
      </c>
      <c r="M8" s="9" t="s">
        <v>94</v>
      </c>
      <c r="N8" s="21" t="str">
        <f>IF($F8="","",IF(AND($F8="在用",$I8&lt;&gt;""),IF($I8&gt;=1,"超寿命待研磨",IF($I8&gt;=基础配置!$B$4,"寿命预警",$F8)),$F8))</f>
        <v>寿命预警</v>
      </c>
    </row>
    <row r="9" ht="16.5" spans="1:14">
      <c r="A9" s="20" t="s">
        <v>148</v>
      </c>
      <c r="B9" s="4" t="s">
        <v>149</v>
      </c>
      <c r="C9" s="20" t="s">
        <v>43</v>
      </c>
      <c r="D9" s="21" t="str">
        <f>IF($C9="","",IFERROR(VLOOKUP($C9,设备状态!$A:$C,3,0),""))</f>
        <v>二号冲压车间</v>
      </c>
      <c r="E9" s="23" t="s">
        <v>150</v>
      </c>
      <c r="F9" s="9" t="s">
        <v>132</v>
      </c>
      <c r="G9" s="13">
        <v>38400</v>
      </c>
      <c r="H9" s="13">
        <v>200000</v>
      </c>
      <c r="I9" s="14">
        <f t="shared" si="0"/>
        <v>0.192</v>
      </c>
      <c r="J9" s="13">
        <f t="shared" si="1"/>
        <v>161600</v>
      </c>
      <c r="K9" s="24">
        <v>46262</v>
      </c>
      <c r="L9" s="24">
        <v>46280</v>
      </c>
      <c r="M9" s="9" t="s">
        <v>96</v>
      </c>
      <c r="N9" s="21" t="str">
        <f>IF($F9="","",IF(AND($F9="在用",$I9&lt;&gt;""),IF($I9&gt;=1,"超寿命待研磨",IF($I9&gt;=基础配置!$B$4,"寿命预警",$F9)),$F9))</f>
        <v>在用</v>
      </c>
    </row>
    <row r="10" ht="16.5" spans="1:14">
      <c r="A10" s="20" t="s">
        <v>151</v>
      </c>
      <c r="B10" s="4" t="s">
        <v>152</v>
      </c>
      <c r="C10" s="20" t="s">
        <v>45</v>
      </c>
      <c r="D10" s="21" t="str">
        <f>IF($C10="","",IFERROR(VLOOKUP($C10,设备状态!$A:$C,3,0),""))</f>
        <v>二号冲压车间</v>
      </c>
      <c r="E10" s="23" t="s">
        <v>153</v>
      </c>
      <c r="F10" s="9" t="s">
        <v>145</v>
      </c>
      <c r="G10" s="13">
        <v>87600</v>
      </c>
      <c r="H10" s="13">
        <v>180000</v>
      </c>
      <c r="I10" s="14">
        <f t="shared" si="0"/>
        <v>0.486666666666667</v>
      </c>
      <c r="J10" s="13">
        <f t="shared" si="1"/>
        <v>92400</v>
      </c>
      <c r="K10" s="24">
        <v>46208</v>
      </c>
      <c r="L10" s="24">
        <v>46242</v>
      </c>
      <c r="M10" s="9" t="s">
        <v>99</v>
      </c>
      <c r="N10" s="21" t="str">
        <f>IF($F10="","",IF(AND($F10="在用",$I10&lt;&gt;""),IF($I10&gt;=1,"超寿命待研磨",IF($I10&gt;=基础配置!$B$4,"寿命预警",$F10)),$F10))</f>
        <v>待用</v>
      </c>
    </row>
    <row r="11" ht="16.5" spans="1:14">
      <c r="A11" s="20" t="s">
        <v>154</v>
      </c>
      <c r="B11" s="4" t="s">
        <v>155</v>
      </c>
      <c r="C11" s="20" t="s">
        <v>48</v>
      </c>
      <c r="D11" s="21" t="str">
        <f>IF($C11="","",IFERROR(VLOOKUP($C11,设备状态!$A:$C,3,0),""))</f>
        <v>二号冲压车间</v>
      </c>
      <c r="E11" s="23" t="s">
        <v>138</v>
      </c>
      <c r="F11" s="9" t="s">
        <v>132</v>
      </c>
      <c r="G11" s="13">
        <v>176900</v>
      </c>
      <c r="H11" s="13">
        <v>180000</v>
      </c>
      <c r="I11" s="14">
        <f t="shared" si="0"/>
        <v>0.982777777777778</v>
      </c>
      <c r="J11" s="13">
        <f t="shared" si="1"/>
        <v>3100</v>
      </c>
      <c r="K11" s="24">
        <v>46193</v>
      </c>
      <c r="L11" s="24">
        <v>46249</v>
      </c>
      <c r="M11" s="9" t="s">
        <v>101</v>
      </c>
      <c r="N11" s="21" t="str">
        <f>IF($F11="","",IF(AND($F11="在用",$I11&lt;&gt;""),IF($I11&gt;=1,"超寿命待研磨",IF($I11&gt;=基础配置!$B$4,"寿命预警",$F11)),$F11))</f>
        <v>寿命预警</v>
      </c>
    </row>
    <row r="12" ht="16.5" spans="1:14">
      <c r="A12" s="20" t="s">
        <v>156</v>
      </c>
      <c r="B12" s="4" t="s">
        <v>157</v>
      </c>
      <c r="C12" s="20" t="s">
        <v>50</v>
      </c>
      <c r="D12" s="21" t="str">
        <f>IF($C12="","",IFERROR(VLOOKUP($C12,设备状态!$A:$C,3,0),""))</f>
        <v>二号冲压车间</v>
      </c>
      <c r="E12" s="23" t="s">
        <v>150</v>
      </c>
      <c r="F12" s="9" t="s">
        <v>158</v>
      </c>
      <c r="G12" s="13">
        <v>59600</v>
      </c>
      <c r="H12" s="13">
        <v>90000</v>
      </c>
      <c r="I12" s="14">
        <f t="shared" si="0"/>
        <v>0.662222222222222</v>
      </c>
      <c r="J12" s="13">
        <f t="shared" si="1"/>
        <v>30400</v>
      </c>
      <c r="K12" s="24">
        <v>46293</v>
      </c>
      <c r="L12" s="24">
        <v>46264</v>
      </c>
      <c r="M12" s="9" t="s">
        <v>104</v>
      </c>
      <c r="N12" s="21" t="str">
        <f>IF($F12="","",IF(AND($F12="在用",$I12&lt;&gt;""),IF($I12&gt;=1,"超寿命待研磨",IF($I12&gt;=基础配置!$B$4,"寿命预警",$F12)),$F12))</f>
        <v>研磨中</v>
      </c>
    </row>
    <row r="13" ht="16.5" spans="1:14">
      <c r="A13" s="20" t="s">
        <v>159</v>
      </c>
      <c r="B13" s="4" t="s">
        <v>160</v>
      </c>
      <c r="C13" s="20" t="s">
        <v>50</v>
      </c>
      <c r="D13" s="21" t="str">
        <f>IF($C13="","",IFERROR(VLOOKUP($C13,设备状态!$A:$C,3,0),""))</f>
        <v>二号冲压车间</v>
      </c>
      <c r="E13" s="23" t="s">
        <v>153</v>
      </c>
      <c r="F13" s="9" t="s">
        <v>161</v>
      </c>
      <c r="G13" s="13">
        <v>91300</v>
      </c>
      <c r="H13" s="13">
        <v>150000</v>
      </c>
      <c r="I13" s="14">
        <f t="shared" si="0"/>
        <v>0.608666666666667</v>
      </c>
      <c r="J13" s="13">
        <f t="shared" si="1"/>
        <v>58700</v>
      </c>
      <c r="K13" s="24">
        <v>46270</v>
      </c>
      <c r="L13" s="24">
        <v>46222</v>
      </c>
      <c r="M13" s="9" t="s">
        <v>104</v>
      </c>
      <c r="N13" s="21" t="str">
        <f>IF($F13="","",IF(AND($F13="在用",$I13&lt;&gt;""),IF($I13&gt;=1,"超寿命待研磨",IF($I13&gt;=基础配置!$B$4,"寿命预警",$F13)),$F13))</f>
        <v>维修复用</v>
      </c>
    </row>
    <row r="14" ht="16.5" spans="1:14">
      <c r="A14" s="20" t="s">
        <v>162</v>
      </c>
      <c r="B14" s="4" t="s">
        <v>163</v>
      </c>
      <c r="C14" s="20" t="s">
        <v>53</v>
      </c>
      <c r="D14" s="21" t="str">
        <f>IF($C14="","",IFERROR(VLOOKUP($C14,设备状态!$A:$C,3,0),""))</f>
        <v>三号焊接车间</v>
      </c>
      <c r="E14" s="23" t="s">
        <v>164</v>
      </c>
      <c r="F14" s="9" t="s">
        <v>132</v>
      </c>
      <c r="G14" s="13">
        <v>69300</v>
      </c>
      <c r="H14" s="13">
        <v>160000</v>
      </c>
      <c r="I14" s="14">
        <f t="shared" si="0"/>
        <v>0.433125</v>
      </c>
      <c r="J14" s="13">
        <f t="shared" si="1"/>
        <v>90700</v>
      </c>
      <c r="K14" s="24">
        <v>46252</v>
      </c>
      <c r="L14" s="24">
        <v>46273</v>
      </c>
      <c r="M14" s="9" t="s">
        <v>107</v>
      </c>
      <c r="N14" s="21" t="str">
        <f>IF($F14="","",IF(AND($F14="在用",$I14&lt;&gt;""),IF($I14&gt;=1,"超寿命待研磨",IF($I14&gt;=基础配置!$B$4,"寿命预警",$F14)),$F14))</f>
        <v>在用</v>
      </c>
    </row>
    <row r="15" ht="16.5" spans="1:14">
      <c r="A15" s="20" t="s">
        <v>165</v>
      </c>
      <c r="B15" s="4" t="s">
        <v>166</v>
      </c>
      <c r="C15" s="20" t="s">
        <v>55</v>
      </c>
      <c r="D15" s="21" t="str">
        <f>IF($C15="","",IFERROR(VLOOKUP($C15,设备状态!$A:$C,3,0),""))</f>
        <v>三号焊接车间</v>
      </c>
      <c r="E15" s="23" t="s">
        <v>164</v>
      </c>
      <c r="F15" s="9" t="s">
        <v>132</v>
      </c>
      <c r="G15" s="13">
        <v>142700</v>
      </c>
      <c r="H15" s="13">
        <v>200000</v>
      </c>
      <c r="I15" s="14">
        <f t="shared" si="0"/>
        <v>0.7135</v>
      </c>
      <c r="J15" s="13">
        <f t="shared" si="1"/>
        <v>57300</v>
      </c>
      <c r="K15" s="24">
        <v>46225</v>
      </c>
      <c r="L15" s="24">
        <v>46252</v>
      </c>
      <c r="M15" s="9" t="s">
        <v>109</v>
      </c>
      <c r="N15" s="21" t="str">
        <f>IF($F15="","",IF(AND($F15="在用",$I15&lt;&gt;""),IF($I15&gt;=1,"超寿命待研磨",IF($I15&gt;=基础配置!$B$4,"寿命预警",$F15)),$F15))</f>
        <v>在用</v>
      </c>
    </row>
    <row r="16" ht="16.5" spans="1:14">
      <c r="A16" s="20" t="s">
        <v>167</v>
      </c>
      <c r="B16" s="4" t="s">
        <v>168</v>
      </c>
      <c r="C16" s="20" t="s">
        <v>57</v>
      </c>
      <c r="D16" s="21" t="str">
        <f>IF($C16="","",IFERROR(VLOOKUP($C16,设备状态!$A:$C,3,0),""))</f>
        <v>三号焊接车间</v>
      </c>
      <c r="E16" s="23" t="s">
        <v>138</v>
      </c>
      <c r="F16" s="9" t="s">
        <v>132</v>
      </c>
      <c r="G16" s="13">
        <v>118500</v>
      </c>
      <c r="H16" s="13">
        <v>160000</v>
      </c>
      <c r="I16" s="14">
        <f t="shared" si="0"/>
        <v>0.740625</v>
      </c>
      <c r="J16" s="13">
        <f t="shared" si="1"/>
        <v>41500</v>
      </c>
      <c r="K16" s="24">
        <v>46235</v>
      </c>
      <c r="L16" s="24">
        <v>46270</v>
      </c>
      <c r="M16" s="9" t="s">
        <v>111</v>
      </c>
      <c r="N16" s="21" t="str">
        <f>IF($F16="","",IF(AND($F16="在用",$I16&lt;&gt;""),IF($I16&gt;=1,"超寿命待研磨",IF($I16&gt;=基础配置!$B$4,"寿命预警",$F16)),$F16))</f>
        <v>在用</v>
      </c>
    </row>
    <row r="17" ht="16.5" spans="1:14">
      <c r="A17" s="20" t="s">
        <v>169</v>
      </c>
      <c r="B17" s="4" t="s">
        <v>170</v>
      </c>
      <c r="C17" s="20" t="s">
        <v>59</v>
      </c>
      <c r="D17" s="21" t="str">
        <f>IF($C17="","",IFERROR(VLOOKUP($C17,设备状态!$A:$C,3,0),""))</f>
        <v>三号焊接车间</v>
      </c>
      <c r="E17" s="23" t="s">
        <v>171</v>
      </c>
      <c r="F17" s="9" t="s">
        <v>145</v>
      </c>
      <c r="G17" s="13">
        <v>52600</v>
      </c>
      <c r="H17" s="13">
        <v>120000</v>
      </c>
      <c r="I17" s="14">
        <f t="shared" si="0"/>
        <v>0.438333333333333</v>
      </c>
      <c r="J17" s="13">
        <f t="shared" si="1"/>
        <v>67400</v>
      </c>
      <c r="K17" s="24">
        <v>46244</v>
      </c>
      <c r="L17" s="24">
        <v>46277</v>
      </c>
      <c r="M17" s="9" t="s">
        <v>113</v>
      </c>
      <c r="N17" s="21" t="str">
        <f>IF($F17="","",IF(AND($F17="在用",$I17&lt;&gt;""),IF($I17&gt;=1,"超寿命待研磨",IF($I17&gt;=基础配置!$B$4,"寿命预警",$F17)),$F17))</f>
        <v>待用</v>
      </c>
    </row>
    <row r="18" ht="16.5" spans="1:14">
      <c r="A18" s="20" t="s">
        <v>172</v>
      </c>
      <c r="B18" s="4" t="s">
        <v>173</v>
      </c>
      <c r="C18" s="20" t="s">
        <v>61</v>
      </c>
      <c r="D18" s="21" t="str">
        <f>IF($C18="","",IFERROR(VLOOKUP($C18,设备状态!$A:$C,3,0),""))</f>
        <v>三号焊接车间</v>
      </c>
      <c r="E18" s="23" t="s">
        <v>164</v>
      </c>
      <c r="F18" s="9" t="s">
        <v>132</v>
      </c>
      <c r="G18" s="13">
        <v>188400</v>
      </c>
      <c r="H18" s="13">
        <v>200000</v>
      </c>
      <c r="I18" s="14">
        <f t="shared" si="0"/>
        <v>0.942</v>
      </c>
      <c r="J18" s="13">
        <f t="shared" si="1"/>
        <v>11600</v>
      </c>
      <c r="K18" s="24">
        <v>46188</v>
      </c>
      <c r="L18" s="24">
        <v>46236</v>
      </c>
      <c r="M18" s="9" t="s">
        <v>115</v>
      </c>
      <c r="N18" s="21" t="str">
        <f>IF($F18="","",IF(AND($F18="在用",$I18&lt;&gt;""),IF($I18&gt;=1,"超寿命待研磨",IF($I18&gt;=基础配置!$B$4,"寿命预警",$F18)),$F18))</f>
        <v>寿命预警</v>
      </c>
    </row>
    <row r="19" ht="16.5" spans="1:14">
      <c r="A19" s="20" t="s">
        <v>174</v>
      </c>
      <c r="B19" s="4" t="s">
        <v>175</v>
      </c>
      <c r="C19" s="20" t="s">
        <v>57</v>
      </c>
      <c r="D19" s="21" t="str">
        <f>IF($C19="","",IFERROR(VLOOKUP($C19,设备状态!$A:$C,3,0),""))</f>
        <v>三号焊接车间</v>
      </c>
      <c r="E19" s="23" t="s">
        <v>171</v>
      </c>
      <c r="F19" s="9" t="s">
        <v>176</v>
      </c>
      <c r="G19" s="13">
        <v>330500</v>
      </c>
      <c r="H19" s="13">
        <v>300000</v>
      </c>
      <c r="I19" s="14">
        <f t="shared" si="0"/>
        <v>1.10166666666667</v>
      </c>
      <c r="J19" s="13">
        <f t="shared" si="1"/>
        <v>0</v>
      </c>
      <c r="K19" s="24">
        <v>46162</v>
      </c>
      <c r="L19" s="24">
        <v>46162</v>
      </c>
      <c r="M19" s="9" t="s">
        <v>111</v>
      </c>
      <c r="N19" s="21" t="str">
        <f>IF($F19="","",IF(AND($F19="在用",$I19&lt;&gt;""),IF($I19&gt;=1,"超寿命待研磨",IF($I19&gt;=基础配置!$B$4,"寿命预警",$F19)),$F19))</f>
        <v>已报废</v>
      </c>
    </row>
    <row r="20" ht="16.5" spans="1:14">
      <c r="A20" t="s">
        <v>177</v>
      </c>
      <c r="B20" s="25" t="s">
        <v>130</v>
      </c>
      <c r="C20" t="s">
        <v>64</v>
      </c>
      <c r="D20" s="21" t="str">
        <f>IF($C20="","",IFERROR(VLOOKUP($C20,设备状态!$A:$C,3,0),""))</f>
        <v>一号冲压车间</v>
      </c>
      <c r="E20" s="26" t="s">
        <v>178</v>
      </c>
      <c r="F20" s="9" t="s">
        <v>145</v>
      </c>
      <c r="G20">
        <v>10000</v>
      </c>
      <c r="H20">
        <v>20000</v>
      </c>
      <c r="I20" s="14">
        <f t="shared" si="0"/>
        <v>0.5</v>
      </c>
      <c r="J20" s="13">
        <f t="shared" si="1"/>
        <v>10000</v>
      </c>
      <c r="K20" s="24">
        <v>46163</v>
      </c>
      <c r="L20" s="24">
        <v>46163</v>
      </c>
      <c r="M20" s="9" t="s">
        <v>111</v>
      </c>
      <c r="N20" s="21" t="str">
        <f>IF($F20="","",IF(AND($F20="在用",$I20&lt;&gt;""),IF($I20&gt;=1,"超寿命待研磨",IF($I20&gt;=基础配置!$B$4,"寿命预警",$F20)),$F20))</f>
        <v>待用</v>
      </c>
    </row>
    <row r="21" spans="1:14">
      <c r="F21" s="9"/>
    </row>
    <row r="22" spans="1:14">
      <c r="F22" s="9"/>
    </row>
    <row r="23" spans="1:14">
      <c r="F23" s="9"/>
    </row>
    <row r="24" spans="1:14">
      <c r="F24" s="9"/>
    </row>
    <row r="25" spans="1:14">
      <c r="F25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N20" etc:filterBottomFollowUsedRange="0">
    <extLst/>
  </autoFilter>
  <conditionalFormatting sqref="F2:F25">
    <cfRule type="cellIs" dxfId="0" priority="2" operator="equal">
      <formula>"在用"</formula>
    </cfRule>
    <cfRule type="cellIs" dxfId="2" priority="3" operator="equal">
      <formula>"待用"</formula>
    </cfRule>
    <cfRule type="cellIs" dxfId="4" priority="4" operator="equal">
      <formula>"研磨中"</formula>
    </cfRule>
    <cfRule type="cellIs" dxfId="3" priority="5" operator="equal">
      <formula>"维修复用"</formula>
    </cfRule>
    <cfRule type="cellIs" dxfId="2" priority="6" operator="equal">
      <formula>"已报废"</formula>
    </cfRule>
  </conditionalFormatting>
  <conditionalFormatting sqref="I2:I20">
    <cfRule type="cellIs" dxfId="1" priority="7" operator="greaterThanOrEqual">
      <formula>0.9</formula>
    </cfRule>
    <cfRule type="cellIs" dxfId="4" priority="8" operator="greaterThanOrEqual">
      <formula>0.75</formula>
    </cfRule>
  </conditionalFormatting>
  <conditionalFormatting sqref="N2:N20">
    <cfRule type="cellIs" dxfId="4" priority="9" operator="equal">
      <formula>"寿命预警"</formula>
    </cfRule>
    <cfRule type="cellIs" dxfId="1" priority="10" operator="equal">
      <formula>"超寿命待研磨"</formula>
    </cfRule>
  </conditionalFormatting>
  <dataValidations count="1">
    <dataValidation type="list" allowBlank="1" sqref="F2:F25">
      <formula1>"在用,待用,研磨中,维修复用,已报废"</formula1>
    </dataValidation>
  </dataValidations>
  <pageMargins left="0.75" right="0.75" top="1" bottom="1" header="0.511811023622047" footer="0.511811023622047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K19" sqref="K19"/>
    </sheetView>
  </sheetViews>
  <sheetFormatPr defaultColWidth="8.6" defaultRowHeight="15"/>
  <cols>
    <col min="1" max="1" width="17" customWidth="1"/>
    <col min="2" max="2" width="10" customWidth="1"/>
    <col min="3" max="3" width="14" customWidth="1"/>
    <col min="4" max="4" width="10" customWidth="1"/>
    <col min="5" max="5" width="17" customWidth="1"/>
    <col min="6" max="6" width="14" customWidth="1"/>
    <col min="7" max="7" width="12" customWidth="1"/>
    <col min="8" max="8" width="9" customWidth="1"/>
    <col min="9" max="9" width="10" customWidth="1"/>
  </cols>
  <sheetData>
    <row r="1" ht="25.5" customHeight="1" spans="1:9">
      <c r="A1" s="8" t="s">
        <v>179</v>
      </c>
      <c r="B1" s="8" t="s">
        <v>19</v>
      </c>
      <c r="C1" s="8" t="s">
        <v>21</v>
      </c>
      <c r="D1" s="8" t="s">
        <v>180</v>
      </c>
      <c r="E1" s="8" t="s">
        <v>181</v>
      </c>
      <c r="F1" s="8" t="s">
        <v>182</v>
      </c>
      <c r="G1" s="8" t="s">
        <v>183</v>
      </c>
      <c r="H1" s="8" t="s">
        <v>184</v>
      </c>
      <c r="I1" s="8" t="s">
        <v>185</v>
      </c>
    </row>
    <row r="2" ht="16.5" spans="1:9">
      <c r="A2" s="19">
        <v>46295.3854166667</v>
      </c>
      <c r="B2" s="20" t="s">
        <v>36</v>
      </c>
      <c r="C2" s="21" t="str">
        <f>IF($B2="","",IFERROR(VLOOKUP($B2,设备状态!$A:$C,3,0),""))</f>
        <v>一号冲压车间</v>
      </c>
      <c r="D2" s="9" t="s">
        <v>186</v>
      </c>
      <c r="E2" s="4" t="s">
        <v>187</v>
      </c>
      <c r="F2" s="13">
        <v>185</v>
      </c>
      <c r="G2" s="13">
        <v>550</v>
      </c>
      <c r="H2" s="21" t="s">
        <v>87</v>
      </c>
      <c r="I2" s="9" t="s">
        <v>188</v>
      </c>
    </row>
    <row r="3" ht="16.5" spans="1:9">
      <c r="A3" s="19">
        <v>46295.4444444445</v>
      </c>
      <c r="B3" s="20" t="s">
        <v>36</v>
      </c>
      <c r="C3" s="21" t="str">
        <f>IF($B3="","",IFERROR(VLOOKUP($B3,设备状态!$A:$C,3,0),""))</f>
        <v>一号冲压车间</v>
      </c>
      <c r="D3" s="9" t="s">
        <v>186</v>
      </c>
      <c r="E3" s="4" t="s">
        <v>187</v>
      </c>
      <c r="F3" s="13">
        <v>225</v>
      </c>
      <c r="G3" s="13">
        <v>670</v>
      </c>
      <c r="H3" s="21" t="s">
        <v>87</v>
      </c>
      <c r="I3" s="9" t="s">
        <v>188</v>
      </c>
    </row>
    <row r="4" ht="16.5" spans="1:9">
      <c r="A4" s="19">
        <v>46295.3472222222</v>
      </c>
      <c r="B4" s="20" t="s">
        <v>61</v>
      </c>
      <c r="C4" s="21" t="str">
        <f>IF($B4="","",IFERROR(VLOOKUP($B4,设备状态!$A:$C,3,0),""))</f>
        <v>三号焊接车间</v>
      </c>
      <c r="D4" s="9" t="s">
        <v>186</v>
      </c>
      <c r="E4" s="4" t="s">
        <v>189</v>
      </c>
      <c r="F4" s="13">
        <v>480</v>
      </c>
      <c r="G4" s="13">
        <v>1280</v>
      </c>
      <c r="H4" s="21" t="s">
        <v>115</v>
      </c>
      <c r="I4" s="9" t="s">
        <v>188</v>
      </c>
    </row>
    <row r="5" ht="16.5" spans="1:9">
      <c r="A5" s="19">
        <v>46295.4618055556</v>
      </c>
      <c r="B5" s="20" t="s">
        <v>45</v>
      </c>
      <c r="C5" s="21" t="str">
        <f>IF($B5="","",IFERROR(VLOOKUP($B5,设备状态!$A:$C,3,0),""))</f>
        <v>二号冲压车间</v>
      </c>
      <c r="D5" s="9" t="s">
        <v>98</v>
      </c>
      <c r="E5" s="4" t="s">
        <v>190</v>
      </c>
      <c r="F5" s="13">
        <v>720</v>
      </c>
      <c r="G5" s="13">
        <v>1800</v>
      </c>
      <c r="H5" s="21" t="s">
        <v>99</v>
      </c>
      <c r="I5" s="9" t="s">
        <v>191</v>
      </c>
    </row>
    <row r="6" ht="16.5" spans="1:9">
      <c r="A6" s="19">
        <v>46295.4097222222</v>
      </c>
      <c r="B6" s="20" t="s">
        <v>50</v>
      </c>
      <c r="C6" s="21" t="str">
        <f>IF($B6="","",IFERROR(VLOOKUP($B6,设备状态!$A:$C,3,0),""))</f>
        <v>二号冲压车间</v>
      </c>
      <c r="D6" s="9" t="s">
        <v>192</v>
      </c>
      <c r="E6" s="4" t="s">
        <v>193</v>
      </c>
      <c r="F6" s="13">
        <v>180</v>
      </c>
      <c r="G6" s="13">
        <v>780</v>
      </c>
      <c r="H6" s="21" t="s">
        <v>104</v>
      </c>
      <c r="I6" s="9" t="s">
        <v>191</v>
      </c>
    </row>
    <row r="7" ht="16.5" spans="1:9">
      <c r="A7" s="19">
        <v>46295.5451388889</v>
      </c>
      <c r="B7" s="20" t="s">
        <v>50</v>
      </c>
      <c r="C7" s="21" t="str">
        <f>IF($B7="","",IFERROR(VLOOKUP($B7,设备状态!$A:$C,3,0),""))</f>
        <v>二号冲压车间</v>
      </c>
      <c r="D7" s="9" t="s">
        <v>194</v>
      </c>
      <c r="E7" s="4" t="s">
        <v>195</v>
      </c>
      <c r="F7" s="13">
        <v>145</v>
      </c>
      <c r="G7" s="13">
        <v>620</v>
      </c>
      <c r="H7" s="21" t="s">
        <v>104</v>
      </c>
      <c r="I7" s="9" t="s">
        <v>191</v>
      </c>
    </row>
    <row r="8" ht="16.5" spans="1:9">
      <c r="A8" s="19">
        <v>46295.3402777778</v>
      </c>
      <c r="B8" s="20" t="s">
        <v>50</v>
      </c>
      <c r="C8" s="21" t="str">
        <f>IF($B8="","",IFERROR(VLOOKUP($B8,设备状态!$A:$C,3,0),""))</f>
        <v>二号冲压车间</v>
      </c>
      <c r="D8" s="9" t="s">
        <v>192</v>
      </c>
      <c r="E8" s="4" t="s">
        <v>196</v>
      </c>
      <c r="F8" s="13">
        <v>300</v>
      </c>
      <c r="G8" s="13">
        <v>1300</v>
      </c>
      <c r="H8" s="21" t="s">
        <v>104</v>
      </c>
      <c r="I8" s="9" t="s">
        <v>191</v>
      </c>
    </row>
    <row r="9" ht="16.5" spans="1:9">
      <c r="A9" s="19">
        <v>46295.4305555556</v>
      </c>
      <c r="B9" s="20" t="s">
        <v>33</v>
      </c>
      <c r="C9" s="21" t="str">
        <f>IF($B9="","",IFERROR(VLOOKUP($B9,设备状态!$A:$C,3,0),""))</f>
        <v>一号冲压车间</v>
      </c>
      <c r="D9" s="9" t="s">
        <v>194</v>
      </c>
      <c r="E9" s="4" t="s">
        <v>194</v>
      </c>
      <c r="F9" s="13">
        <v>300</v>
      </c>
      <c r="G9" s="13">
        <v>1200</v>
      </c>
      <c r="H9" s="21" t="s">
        <v>84</v>
      </c>
      <c r="I9" s="9" t="s">
        <v>191</v>
      </c>
    </row>
    <row r="10" ht="16.5" spans="1:9">
      <c r="A10" s="19">
        <v>46295.3576388889</v>
      </c>
      <c r="B10" s="20" t="s">
        <v>29</v>
      </c>
      <c r="C10" s="21" t="str">
        <f>IF($B10="","",IFERROR(VLOOKUP($B10,设备状态!$A:$C,3,0),""))</f>
        <v>一号冲压车间</v>
      </c>
      <c r="D10" s="9" t="s">
        <v>197</v>
      </c>
      <c r="E10" s="4" t="s">
        <v>198</v>
      </c>
      <c r="F10" s="13">
        <v>65</v>
      </c>
      <c r="G10" s="13">
        <v>280</v>
      </c>
      <c r="H10" s="21" t="s">
        <v>79</v>
      </c>
      <c r="I10" s="9" t="s">
        <v>191</v>
      </c>
    </row>
    <row r="11" ht="16.5" spans="1:9">
      <c r="A11" s="19">
        <v>46295.5069444445</v>
      </c>
      <c r="B11" s="20" t="s">
        <v>31</v>
      </c>
      <c r="C11" s="21" t="str">
        <f>IF($B11="","",IFERROR(VLOOKUP($B11,设备状态!$A:$C,3,0),""))</f>
        <v>一号冲压车间</v>
      </c>
      <c r="D11" s="9" t="s">
        <v>186</v>
      </c>
      <c r="E11" s="4" t="s">
        <v>199</v>
      </c>
      <c r="F11" s="13">
        <v>30</v>
      </c>
      <c r="G11" s="13">
        <v>155</v>
      </c>
      <c r="H11" s="21" t="s">
        <v>81</v>
      </c>
      <c r="I11" s="9" t="s">
        <v>191</v>
      </c>
    </row>
    <row r="12" ht="16.5" spans="1:9">
      <c r="A12" s="19">
        <v>46295.4201388889</v>
      </c>
      <c r="B12" s="20" t="s">
        <v>39</v>
      </c>
      <c r="C12" s="21" t="str">
        <f>IF($B12="","",IFERROR(VLOOKUP($B12,设备状态!$A:$C,3,0),""))</f>
        <v>一号冲压车间</v>
      </c>
      <c r="D12" s="9" t="s">
        <v>194</v>
      </c>
      <c r="E12" s="4" t="s">
        <v>200</v>
      </c>
      <c r="F12" s="13">
        <v>55</v>
      </c>
      <c r="G12" s="13">
        <v>165</v>
      </c>
      <c r="H12" s="21" t="s">
        <v>90</v>
      </c>
      <c r="I12" s="9" t="s">
        <v>191</v>
      </c>
    </row>
    <row r="13" ht="16.5" spans="1:9">
      <c r="A13" s="19">
        <v>46295.4791666667</v>
      </c>
      <c r="B13" s="20" t="s">
        <v>41</v>
      </c>
      <c r="C13" s="21" t="str">
        <f>IF($B13="","",IFERROR(VLOOKUP($B13,设备状态!$A:$C,3,0),""))</f>
        <v>二号冲压车间</v>
      </c>
      <c r="D13" s="9" t="s">
        <v>186</v>
      </c>
      <c r="E13" s="4" t="s">
        <v>201</v>
      </c>
      <c r="F13" s="13">
        <v>20</v>
      </c>
      <c r="G13" s="13">
        <v>165</v>
      </c>
      <c r="H13" s="21" t="s">
        <v>94</v>
      </c>
      <c r="I13" s="9" t="s">
        <v>191</v>
      </c>
    </row>
    <row r="14" ht="16.5" spans="1:9">
      <c r="A14" s="19">
        <v>46295.3888888889</v>
      </c>
      <c r="B14" s="20" t="s">
        <v>43</v>
      </c>
      <c r="C14" s="21" t="str">
        <f>IF($B14="","",IFERROR(VLOOKUP($B14,设备状态!$A:$C,3,0),""))</f>
        <v>二号冲压车间</v>
      </c>
      <c r="D14" s="9" t="s">
        <v>186</v>
      </c>
      <c r="E14" s="4" t="s">
        <v>202</v>
      </c>
      <c r="F14" s="13">
        <v>30</v>
      </c>
      <c r="G14" s="13">
        <v>240</v>
      </c>
      <c r="H14" s="21" t="s">
        <v>96</v>
      </c>
      <c r="I14" s="9" t="s">
        <v>191</v>
      </c>
    </row>
    <row r="15" ht="16.5" spans="1:9">
      <c r="A15" s="19">
        <v>46295.3680555556</v>
      </c>
      <c r="B15" s="20" t="s">
        <v>48</v>
      </c>
      <c r="C15" s="21" t="str">
        <f>IF($B15="","",IFERROR(VLOOKUP($B15,设备状态!$A:$C,3,0),""))</f>
        <v>二号冲压车间</v>
      </c>
      <c r="D15" s="9" t="s">
        <v>186</v>
      </c>
      <c r="E15" s="4" t="s">
        <v>203</v>
      </c>
      <c r="F15" s="13">
        <v>80</v>
      </c>
      <c r="G15" s="13">
        <v>390</v>
      </c>
      <c r="H15" s="21" t="s">
        <v>101</v>
      </c>
      <c r="I15" s="9" t="s">
        <v>191</v>
      </c>
    </row>
    <row r="16" ht="16.5" spans="1:9">
      <c r="A16" s="19">
        <v>46295.5486111111</v>
      </c>
      <c r="B16" s="20" t="s">
        <v>53</v>
      </c>
      <c r="C16" s="21" t="str">
        <f>IF($B16="","",IFERROR(VLOOKUP($B16,设备状态!$A:$C,3,0),""))</f>
        <v>三号焊接车间</v>
      </c>
      <c r="D16" s="9" t="s">
        <v>186</v>
      </c>
      <c r="E16" s="4" t="s">
        <v>204</v>
      </c>
      <c r="F16" s="13">
        <v>55</v>
      </c>
      <c r="G16" s="13">
        <v>135</v>
      </c>
      <c r="H16" s="21" t="s">
        <v>107</v>
      </c>
      <c r="I16" s="9" t="s">
        <v>191</v>
      </c>
    </row>
    <row r="17" ht="16.5" spans="1:9">
      <c r="A17" s="19">
        <v>46295.4895833333</v>
      </c>
      <c r="B17" s="20" t="s">
        <v>55</v>
      </c>
      <c r="C17" s="21" t="str">
        <f>IF($B17="","",IFERROR(VLOOKUP($B17,设备状态!$A:$C,3,0),""))</f>
        <v>三号焊接车间</v>
      </c>
      <c r="D17" s="9" t="s">
        <v>186</v>
      </c>
      <c r="E17" s="4" t="s">
        <v>205</v>
      </c>
      <c r="F17" s="13">
        <v>45</v>
      </c>
      <c r="G17" s="13">
        <v>145</v>
      </c>
      <c r="H17" s="21" t="s">
        <v>109</v>
      </c>
      <c r="I17" s="9" t="s">
        <v>191</v>
      </c>
    </row>
    <row r="18" ht="16.5" spans="1:9">
      <c r="A18" s="19">
        <v>46295.4270833333</v>
      </c>
      <c r="B18" s="20" t="s">
        <v>57</v>
      </c>
      <c r="C18" s="21" t="str">
        <f>IF($B18="","",IFERROR(VLOOKUP($B18,设备状态!$A:$C,3,0),""))</f>
        <v>三号焊接车间</v>
      </c>
      <c r="D18" s="9" t="s">
        <v>194</v>
      </c>
      <c r="E18" s="4" t="s">
        <v>194</v>
      </c>
      <c r="F18" s="13">
        <v>60</v>
      </c>
      <c r="G18" s="13">
        <v>260</v>
      </c>
      <c r="H18" s="21" t="s">
        <v>111</v>
      </c>
      <c r="I18" s="9" t="s">
        <v>191</v>
      </c>
    </row>
    <row r="19" ht="16.5" spans="1:9">
      <c r="A19" s="19">
        <v>46295.3541666667</v>
      </c>
      <c r="B19" s="20" t="s">
        <v>59</v>
      </c>
      <c r="C19" s="21" t="str">
        <f>IF($B19="","",IFERROR(VLOOKUP($B19,设备状态!$A:$C,3,0),""))</f>
        <v>三号焊接车间</v>
      </c>
      <c r="D19" s="9" t="s">
        <v>192</v>
      </c>
      <c r="E19" s="4" t="s">
        <v>206</v>
      </c>
      <c r="F19" s="13">
        <v>540</v>
      </c>
      <c r="G19" s="13">
        <v>2280</v>
      </c>
      <c r="H19" s="21" t="s">
        <v>113</v>
      </c>
      <c r="I19" s="9" t="s">
        <v>191</v>
      </c>
    </row>
    <row r="20" ht="16.5" spans="1:9">
      <c r="A20" s="19">
        <v>46301</v>
      </c>
      <c r="B20" s="22" t="s">
        <v>64</v>
      </c>
      <c r="C20" s="21" t="str">
        <f>IF($B20="","",IFERROR(VLOOKUP($B20,设备状态!$A:$C,3,0),""))</f>
        <v>一号冲压车间</v>
      </c>
      <c r="D20" s="9" t="s">
        <v>194</v>
      </c>
      <c r="E20" s="4" t="s">
        <v>195</v>
      </c>
      <c r="F20" s="13">
        <v>60</v>
      </c>
      <c r="G20" s="13">
        <v>620</v>
      </c>
      <c r="H20" s="21" t="s">
        <v>104</v>
      </c>
      <c r="I20" s="9" t="s">
        <v>191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20" etc:filterBottomFollowUsedRange="0">
    <extLst/>
  </autoFilter>
  <conditionalFormatting sqref="F20">
    <cfRule type="cellIs" dxfId="7" priority="3" operator="greaterThanOrEqual">
      <formula>300</formula>
    </cfRule>
  </conditionalFormatting>
  <conditionalFormatting sqref="I20">
    <cfRule type="cellIs" dxfId="0" priority="2" operator="equal">
      <formula>"已闭环"</formula>
    </cfRule>
    <cfRule type="cellIs" dxfId="1" priority="1" operator="equal">
      <formula>"维修中"</formula>
    </cfRule>
  </conditionalFormatting>
  <conditionalFormatting sqref="F2:F19">
    <cfRule type="cellIs" dxfId="7" priority="7" operator="greaterThanOrEqual">
      <formula>300</formula>
    </cfRule>
  </conditionalFormatting>
  <conditionalFormatting sqref="I2:I19">
    <cfRule type="cellIs" dxfId="1" priority="5" operator="equal">
      <formula>"维修中"</formula>
    </cfRule>
    <cfRule type="cellIs" dxfId="0" priority="6" operator="equal">
      <formula>"已闭环"</formula>
    </cfRule>
  </conditionalFormatting>
  <dataValidations count="2">
    <dataValidation type="list" allowBlank="1" sqref="D2:D20">
      <formula1>"设备故障,计划保养,换模调机,待料,其他"</formula1>
    </dataValidation>
    <dataValidation type="list" allowBlank="1" sqref="I2:I20">
      <formula1>"维修中,已闭环"</formula1>
    </dataValidation>
  </dataValidations>
  <pageMargins left="0.75" right="0.75" top="1" bottom="1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O18" sqref="O18"/>
    </sheetView>
  </sheetViews>
  <sheetFormatPr defaultColWidth="8.6" defaultRowHeight="15"/>
  <cols>
    <col min="1" max="1" width="14" customWidth="1"/>
    <col min="2" max="2" width="9" customWidth="1"/>
    <col min="3" max="5" width="8" customWidth="1"/>
    <col min="6" max="7" width="10" customWidth="1"/>
    <col min="8" max="8" width="9" customWidth="1"/>
    <col min="9" max="10" width="13" customWidth="1"/>
    <col min="11" max="12" width="9" customWidth="1"/>
  </cols>
  <sheetData>
    <row r="1" ht="30" customHeight="1" spans="1:12">
      <c r="A1" s="2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" customHeight="1" spans="1:12">
      <c r="A2" s="8" t="s">
        <v>9</v>
      </c>
      <c r="B2" s="11" t="s">
        <v>10</v>
      </c>
      <c r="C2" s="11" t="s">
        <v>11</v>
      </c>
      <c r="D2" s="11" t="s">
        <v>103</v>
      </c>
      <c r="E2" s="11" t="s">
        <v>83</v>
      </c>
      <c r="F2" s="11" t="s">
        <v>12</v>
      </c>
      <c r="G2" s="11" t="s">
        <v>98</v>
      </c>
      <c r="H2" s="12" t="s">
        <v>13</v>
      </c>
      <c r="I2" s="11" t="s">
        <v>14</v>
      </c>
      <c r="J2" s="11" t="s">
        <v>24</v>
      </c>
      <c r="K2" s="12" t="s">
        <v>15</v>
      </c>
      <c r="L2" s="12" t="s">
        <v>208</v>
      </c>
    </row>
    <row r="3" ht="16.5" spans="1:12">
      <c r="A3" s="9" t="s">
        <v>77</v>
      </c>
      <c r="B3" s="13">
        <f>COUNTIF(设备状态!$C:$C,$A3)</f>
        <v>6</v>
      </c>
      <c r="C3" s="13">
        <f>COUNTIFS(设备状态!$C:$C,$A3,设备状态!$F:$F,C$2)</f>
        <v>3</v>
      </c>
      <c r="D3" s="13">
        <f>COUNTIFS(设备状态!$C:$C,$A3,设备状态!$F:$F,D$2)</f>
        <v>0</v>
      </c>
      <c r="E3" s="13">
        <f>COUNTIFS(设备状态!$C:$C,$A3,设备状态!$F:$F,E$2)</f>
        <v>2</v>
      </c>
      <c r="F3" s="13">
        <f>COUNTIFS(设备状态!$C:$C,$A3,设备状态!$F:$F,F$2)</f>
        <v>1</v>
      </c>
      <c r="G3" s="13">
        <f>COUNTIFS(设备状态!$C:$C,$A3,设备状态!$F:$F,G$2)</f>
        <v>0</v>
      </c>
      <c r="H3" s="14">
        <f>IF(OR($B3="",$B3=0),"",$C3/$B3)</f>
        <v>0.5</v>
      </c>
      <c r="I3" s="13">
        <f>SUMIF(设备状态!$C:$C,$A3,设备状态!$I:$I)</f>
        <v>11120</v>
      </c>
      <c r="J3" s="13">
        <f>SUMIF(设备状态!$C:$C,$A3,设备状态!$K:$K)</f>
        <v>13600</v>
      </c>
      <c r="K3" s="14">
        <f>IF(OR($J3="",$J3=0),"",$I3/$J3)</f>
        <v>0.817647058823529</v>
      </c>
      <c r="L3" s="14">
        <f>IF($B3=0,"",SUMIF(设备状态!$C:$C,$A3,设备状态!$P:$P)/COUNTIFS(设备状态!$C:$C,$A3,设备状态!$P:$P,"&gt;0"))</f>
        <v>0.747151982463196</v>
      </c>
    </row>
    <row r="4" ht="16.5" spans="1:12">
      <c r="A4" s="9" t="s">
        <v>92</v>
      </c>
      <c r="B4" s="13">
        <f>COUNTIF(设备状态!$C:$C,$A4)</f>
        <v>5</v>
      </c>
      <c r="C4" s="13">
        <f>COUNTIFS(设备状态!$C:$C,$A4,设备状态!$F:$F,C$2)</f>
        <v>3</v>
      </c>
      <c r="D4" s="13">
        <f>COUNTIFS(设备状态!$C:$C,$A4,设备状态!$F:$F,D$2)</f>
        <v>1</v>
      </c>
      <c r="E4" s="13">
        <f>COUNTIFS(设备状态!$C:$C,$A4,设备状态!$F:$F,E$2)</f>
        <v>0</v>
      </c>
      <c r="F4" s="13">
        <f>COUNTIFS(设备状态!$C:$C,$A4,设备状态!$F:$F,F$2)</f>
        <v>0</v>
      </c>
      <c r="G4" s="13">
        <f>COUNTIFS(设备状态!$C:$C,$A4,设备状态!$F:$F,G$2)</f>
        <v>1</v>
      </c>
      <c r="H4" s="14">
        <f>IF(OR($B4="",$B4=0),"",$C4/$B4)</f>
        <v>0.6</v>
      </c>
      <c r="I4" s="13">
        <f>SUMIF(设备状态!$C:$C,$A4,设备状态!$I:$I)</f>
        <v>14810</v>
      </c>
      <c r="J4" s="13">
        <f>SUMIF(设备状态!$C:$C,$A4,设备状态!$K:$K)</f>
        <v>18600</v>
      </c>
      <c r="K4" s="14">
        <f>IF(OR($J4="",$J4=0),"",$I4/$J4)</f>
        <v>0.796236559139785</v>
      </c>
      <c r="L4" s="14">
        <f>IF($B4=0,"",SUMIF(设备状态!$C:$C,$A4,设备状态!$P:$P)/COUNTIFS(设备状态!$C:$C,$A4,设备状态!$P:$P,"&gt;0"))</f>
        <v>0.729549168928839</v>
      </c>
    </row>
    <row r="5" ht="16.5" spans="1:12">
      <c r="A5" s="9" t="s">
        <v>106</v>
      </c>
      <c r="B5" s="13">
        <f>COUNTIF(设备状态!$C:$C,$A5)</f>
        <v>5</v>
      </c>
      <c r="C5" s="13">
        <f>COUNTIFS(设备状态!$C:$C,$A5,设备状态!$F:$F,C$2)</f>
        <v>3</v>
      </c>
      <c r="D5" s="13">
        <f>COUNTIFS(设备状态!$C:$C,$A5,设备状态!$F:$F,D$2)</f>
        <v>1</v>
      </c>
      <c r="E5" s="13">
        <f>COUNTIFS(设备状态!$C:$C,$A5,设备状态!$F:$F,E$2)</f>
        <v>0</v>
      </c>
      <c r="F5" s="13">
        <f>COUNTIFS(设备状态!$C:$C,$A5,设备状态!$F:$F,F$2)</f>
        <v>1</v>
      </c>
      <c r="G5" s="13">
        <f>COUNTIFS(设备状态!$C:$C,$A5,设备状态!$F:$F,G$2)</f>
        <v>0</v>
      </c>
      <c r="H5" s="14">
        <f>IF(OR($B5="",$B5=0),"",$C5/$B5)</f>
        <v>0.6</v>
      </c>
      <c r="I5" s="13">
        <f>SUMIF(设备状态!$C:$C,$A5,设备状态!$I:$I)</f>
        <v>8040</v>
      </c>
      <c r="J5" s="13">
        <f>SUMIF(设备状态!$C:$C,$A5,设备状态!$K:$K)</f>
        <v>10800</v>
      </c>
      <c r="K5" s="14">
        <f>IF(OR($J5="",$J5=0),"",$I5/$J5)</f>
        <v>0.744444444444444</v>
      </c>
      <c r="L5" s="14">
        <f>IF($B5=0,"",SUMIF(设备状态!$C:$C,$A5,设备状态!$P:$P)/COUNTIFS(设备状态!$C:$C,$A5,设备状态!$P:$P,"&gt;0"))</f>
        <v>0.663539630746476</v>
      </c>
    </row>
    <row r="6" ht="16.5" spans="1:12">
      <c r="A6" s="15" t="s">
        <v>16</v>
      </c>
      <c r="B6" s="16">
        <f t="shared" ref="B6:G6" si="0">SUM(B3:B5)</f>
        <v>16</v>
      </c>
      <c r="C6" s="16">
        <f t="shared" si="0"/>
        <v>9</v>
      </c>
      <c r="D6" s="16">
        <f t="shared" si="0"/>
        <v>2</v>
      </c>
      <c r="E6" s="16">
        <f t="shared" si="0"/>
        <v>2</v>
      </c>
      <c r="F6" s="16">
        <f t="shared" si="0"/>
        <v>2</v>
      </c>
      <c r="G6" s="16">
        <f t="shared" si="0"/>
        <v>1</v>
      </c>
      <c r="H6" s="17">
        <f>IF($B6=0,"",$C6/$B6)</f>
        <v>0.5625</v>
      </c>
      <c r="I6" s="16">
        <f>SUM(I3:I5)</f>
        <v>33970</v>
      </c>
      <c r="J6" s="16">
        <f>SUM(J3:J5)</f>
        <v>43000</v>
      </c>
      <c r="K6" s="17">
        <f>IF($J6=0,"",$I6/$J6)</f>
        <v>0.79</v>
      </c>
      <c r="L6" s="17">
        <f>IFERROR(SUM(设备状态!$P$2:$P$16)/COUNTIF(设备状态!$P$2:$P$16,"&gt;0"),"")</f>
        <v>0.712261052983122</v>
      </c>
    </row>
    <row r="8" ht="21.75" customHeight="1" spans="1:12">
      <c r="A8" s="18" t="s">
        <v>209</v>
      </c>
      <c r="B8" s="18"/>
      <c r="C8" s="18"/>
      <c r="D8" s="18"/>
      <c r="E8" s="18"/>
    </row>
    <row r="9" ht="27" customHeight="1" spans="1:12">
      <c r="A9" s="8" t="s">
        <v>121</v>
      </c>
      <c r="B9" s="11" t="s">
        <v>210</v>
      </c>
      <c r="C9" s="12" t="s">
        <v>211</v>
      </c>
      <c r="D9" s="12" t="s">
        <v>212</v>
      </c>
      <c r="E9" s="11" t="s">
        <v>213</v>
      </c>
    </row>
    <row r="10" ht="16.5" spans="1:12">
      <c r="A10" s="9" t="s">
        <v>132</v>
      </c>
      <c r="B10" s="13">
        <f>COUNTIF(模具状态!$F:$F,$A10)</f>
        <v>12</v>
      </c>
      <c r="C10" s="14">
        <f>IF(OR($B$15="",$B$15=0),"",$B10/$B$15)</f>
        <v>0.631578947368421</v>
      </c>
      <c r="D10" s="14">
        <f>IF($B10=0,"",SUMIFS(模具状态!$I:$I,模具状态!$F:$F,$A10,模具状态!$I:$I,"&gt;0")/COUNTIFS(模具状态!$F:$F,$A10,模具状态!$I:$I,"&gt;0"))</f>
        <v>0.725776388888889</v>
      </c>
      <c r="E10" s="13">
        <f>IF($A10&lt;&gt;"在用","",COUNTIFS(模具状态!$N:$N,"寿命预警")+COUNTIFS(模具状态!$N:$N,"超寿命待研磨"))</f>
        <v>5</v>
      </c>
    </row>
    <row r="11" ht="16.5" spans="1:12">
      <c r="A11" s="9" t="s">
        <v>145</v>
      </c>
      <c r="B11" s="13">
        <f>COUNTIF(模具状态!$F:$F,$A11)</f>
        <v>4</v>
      </c>
      <c r="C11" s="14">
        <f>IF(OR($B$15="",$B$15=0),"",$B11/$B$15)</f>
        <v>0.210526315789474</v>
      </c>
      <c r="D11" s="14">
        <f>IF($B11=0,"",SUMIFS(模具状态!$I:$I,模具状态!$F:$F,$A11,模具状态!$I:$I,"&gt;0")/COUNTIFS(模具状态!$F:$F,$A11,模具状态!$I:$I,"&gt;0"))</f>
        <v>0.45925</v>
      </c>
      <c r="E11" s="13" t="str">
        <f>IF($A11&lt;&gt;"在用","",COUNTIFS(模具状态!$N:$N,"寿命预警")+COUNTIFS(模具状态!$N:$N,"超寿命待研磨"))</f>
        <v/>
      </c>
    </row>
    <row r="12" ht="16.5" spans="1:12">
      <c r="A12" s="9" t="s">
        <v>158</v>
      </c>
      <c r="B12" s="13">
        <f>COUNTIF(模具状态!$F:$F,$A12)</f>
        <v>1</v>
      </c>
      <c r="C12" s="14">
        <f>IF(OR($B$15="",$B$15=0),"",$B12/$B$15)</f>
        <v>0.0526315789473684</v>
      </c>
      <c r="D12" s="14">
        <f>IF($B12=0,"",SUMIFS(模具状态!$I:$I,模具状态!$F:$F,$A12,模具状态!$I:$I,"&gt;0")/COUNTIFS(模具状态!$F:$F,$A12,模具状态!$I:$I,"&gt;0"))</f>
        <v>0.662222222222222</v>
      </c>
      <c r="E12" s="13" t="str">
        <f>IF($A12&lt;&gt;"在用","",COUNTIFS(模具状态!$N:$N,"寿命预警")+COUNTIFS(模具状态!$N:$N,"超寿命待研磨"))</f>
        <v/>
      </c>
    </row>
    <row r="13" ht="16.5" spans="1:12">
      <c r="A13" s="9" t="s">
        <v>161</v>
      </c>
      <c r="B13" s="13">
        <f>COUNTIF(模具状态!$F:$F,$A13)</f>
        <v>1</v>
      </c>
      <c r="C13" s="14">
        <f>IF(OR($B$15="",$B$15=0),"",$B13/$B$15)</f>
        <v>0.0526315789473684</v>
      </c>
      <c r="D13" s="14">
        <f>IF($B13=0,"",SUMIFS(模具状态!$I:$I,模具状态!$F:$F,$A13,模具状态!$I:$I,"&gt;0")/COUNTIFS(模具状态!$F:$F,$A13,模具状态!$I:$I,"&gt;0"))</f>
        <v>0.608666666666667</v>
      </c>
      <c r="E13" s="13" t="str">
        <f>IF($A13&lt;&gt;"在用","",COUNTIFS(模具状态!$N:$N,"寿命预警")+COUNTIFS(模具状态!$N:$N,"超寿命待研磨"))</f>
        <v/>
      </c>
    </row>
    <row r="14" ht="16.5" spans="1:12">
      <c r="A14" s="9" t="s">
        <v>176</v>
      </c>
      <c r="B14" s="13">
        <f>COUNTIF(模具状态!$F:$F,$A14)</f>
        <v>1</v>
      </c>
      <c r="C14" s="14">
        <f>IF(OR($B$15="",$B$15=0),"",$B14/$B$15)</f>
        <v>0.0526315789473684</v>
      </c>
      <c r="D14" s="14">
        <f>IF($B14=0,"",SUMIFS(模具状态!$I:$I,模具状态!$F:$F,$A14,模具状态!$I:$I,"&gt;0")/COUNTIFS(模具状态!$F:$F,$A14,模具状态!$I:$I,"&gt;0"))</f>
        <v>1.10166666666667</v>
      </c>
      <c r="E14" s="13" t="str">
        <f>IF($A14&lt;&gt;"在用","",COUNTIFS(模具状态!$N:$N,"寿命预警")+COUNTIFS(模具状态!$N:$N,"超寿命待研磨"))</f>
        <v/>
      </c>
    </row>
    <row r="15" ht="16.5" spans="1:12">
      <c r="A15" s="15" t="s">
        <v>16</v>
      </c>
      <c r="B15" s="16">
        <f>SUM(B10:B14)</f>
        <v>19</v>
      </c>
      <c r="C15" s="17">
        <f>IF(OR($B$15="",$B$15=0),"",$B$15/$B$15)</f>
        <v>1</v>
      </c>
      <c r="D15" s="17">
        <f>IFERROR(SUM(模具状态!$I$2:$I$19)/COUNTIF(模具状态!$I$2:$I$19,"&gt;0"),"")</f>
        <v>0.689937345679012</v>
      </c>
      <c r="E15" s="16">
        <f>SUM(E10:E14)</f>
        <v>5</v>
      </c>
    </row>
    <row r="17" ht="21.75" customHeight="1" spans="1:5">
      <c r="A17" s="18" t="s">
        <v>214</v>
      </c>
      <c r="B17" s="18"/>
      <c r="C17" s="18"/>
      <c r="D17" s="18"/>
      <c r="E17" s="18"/>
    </row>
    <row r="18" ht="33" customHeight="1" spans="1:5">
      <c r="A18" s="8" t="s">
        <v>180</v>
      </c>
      <c r="B18" s="11" t="s">
        <v>215</v>
      </c>
      <c r="C18" s="11" t="s">
        <v>216</v>
      </c>
      <c r="D18" s="11" t="s">
        <v>183</v>
      </c>
      <c r="E18" s="12" t="s">
        <v>217</v>
      </c>
    </row>
    <row r="19" ht="16.5" spans="1:5">
      <c r="A19" s="9" t="s">
        <v>186</v>
      </c>
      <c r="B19" s="13">
        <f>COUNTIF(停机记录!$D:$D,$A19)</f>
        <v>9</v>
      </c>
      <c r="C19" s="13">
        <f>SUMIF(停机记录!$D:$D,$A19,停机记录!$F:$F)</f>
        <v>1150</v>
      </c>
      <c r="D19" s="13">
        <f>SUMIF(停机记录!$D:$D,$A19,停机记录!$G:$G)</f>
        <v>3730</v>
      </c>
      <c r="E19" s="14">
        <f>IF(OR($C$24="",$C$24=0),"",$C19/$C$24)</f>
        <v>0.321678321678322</v>
      </c>
    </row>
    <row r="20" ht="16.5" spans="1:5">
      <c r="A20" s="9" t="s">
        <v>98</v>
      </c>
      <c r="B20" s="13">
        <f>COUNTIF(停机记录!$D:$D,$A20)</f>
        <v>1</v>
      </c>
      <c r="C20" s="13">
        <f>SUMIF(停机记录!$D:$D,$A20,停机记录!$F:$F)</f>
        <v>720</v>
      </c>
      <c r="D20" s="13">
        <f>SUMIF(停机记录!$D:$D,$A20,停机记录!$G:$G)</f>
        <v>1800</v>
      </c>
      <c r="E20" s="14">
        <f>IF(OR($C$24="",$C$24=0),"",$C20/$C$24)</f>
        <v>0.201398601398601</v>
      </c>
    </row>
    <row r="21" ht="16.5" spans="1:5">
      <c r="A21" s="9" t="s">
        <v>194</v>
      </c>
      <c r="B21" s="13">
        <f>COUNTIF(停机记录!$D:$D,$A21)</f>
        <v>5</v>
      </c>
      <c r="C21" s="13">
        <f>SUMIF(停机记录!$D:$D,$A21,停机记录!$F:$F)</f>
        <v>620</v>
      </c>
      <c r="D21" s="13">
        <f>SUMIF(停机记录!$D:$D,$A21,停机记录!$G:$G)</f>
        <v>2865</v>
      </c>
      <c r="E21" s="14">
        <f>IF(OR($C$24="",$C$24=0),"",$C21/$C$24)</f>
        <v>0.173426573426573</v>
      </c>
    </row>
    <row r="22" ht="16.5" spans="1:5">
      <c r="A22" s="9" t="s">
        <v>192</v>
      </c>
      <c r="B22" s="13">
        <f>COUNTIF(停机记录!$D:$D,$A22)</f>
        <v>3</v>
      </c>
      <c r="C22" s="13">
        <f>SUMIF(停机记录!$D:$D,$A22,停机记录!$F:$F)</f>
        <v>1020</v>
      </c>
      <c r="D22" s="13">
        <f>SUMIF(停机记录!$D:$D,$A22,停机记录!$G:$G)</f>
        <v>4360</v>
      </c>
      <c r="E22" s="14">
        <f>IF(OR($C$24="",$C$24=0),"",$C22/$C$24)</f>
        <v>0.285314685314685</v>
      </c>
    </row>
    <row r="23" ht="16.5" spans="1:5">
      <c r="A23" s="9" t="s">
        <v>197</v>
      </c>
      <c r="B23" s="13">
        <f>COUNTIF(停机记录!$D:$D,$A23)</f>
        <v>1</v>
      </c>
      <c r="C23" s="13">
        <f>SUMIF(停机记录!$D:$D,$A23,停机记录!$F:$F)</f>
        <v>65</v>
      </c>
      <c r="D23" s="13">
        <f>SUMIF(停机记录!$D:$D,$A23,停机记录!$G:$G)</f>
        <v>280</v>
      </c>
      <c r="E23" s="14">
        <f>IF(OR($C$24="",$C$24=0),"",$C23/$C$24)</f>
        <v>0.0181818181818182</v>
      </c>
    </row>
    <row r="24" ht="16.5" spans="1:5">
      <c r="A24" s="15" t="s">
        <v>16</v>
      </c>
      <c r="B24" s="16">
        <f>SUM(B19:B23)</f>
        <v>19</v>
      </c>
      <c r="C24" s="16">
        <f>SUM(C19:C23)</f>
        <v>3575</v>
      </c>
      <c r="D24" s="16">
        <f>SUM(D19:D23)</f>
        <v>13035</v>
      </c>
      <c r="E24" s="17">
        <f>IF(OR($C$24="",$C$24=0),"",$C$24/$C$24)</f>
        <v>1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1:L1"/>
    <mergeCell ref="A8:E8"/>
    <mergeCell ref="A17:E17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5"/>
  <sheetViews>
    <sheetView tabSelected="1" workbookViewId="0">
      <selection activeCell="E10" sqref="E10"/>
    </sheetView>
  </sheetViews>
  <sheetFormatPr defaultColWidth="8.6" defaultRowHeight="15" outlineLevelCol="5"/>
  <cols>
    <col min="1" max="1" width="24" customWidth="1"/>
    <col min="2" max="2" width="10" customWidth="1"/>
    <col min="3" max="3" width="12" customWidth="1"/>
    <col min="4" max="4" width="10" customWidth="1"/>
    <col min="5" max="5" width="65.1428571428571" style="1" customWidth="1"/>
    <col min="6" max="6" width="10" customWidth="1"/>
  </cols>
  <sheetData>
    <row r="1" ht="27.75" customHeight="1" spans="1:6">
      <c r="A1" s="2" t="s">
        <v>218</v>
      </c>
      <c r="B1" s="2"/>
      <c r="C1" s="2"/>
      <c r="D1" s="2"/>
      <c r="E1" s="3"/>
      <c r="F1" s="2"/>
    </row>
    <row r="3" ht="16.5" spans="1:6">
      <c r="A3" s="4" t="s">
        <v>219</v>
      </c>
      <c r="B3" s="5">
        <v>720</v>
      </c>
      <c r="C3" s="6" t="s">
        <v>220</v>
      </c>
    </row>
    <row r="4" ht="16.5" spans="1:6">
      <c r="A4" s="4" t="s">
        <v>221</v>
      </c>
      <c r="B4" s="7">
        <v>0.9</v>
      </c>
      <c r="C4" s="6" t="s">
        <v>222</v>
      </c>
    </row>
    <row r="7" ht="21.75" customHeight="1" spans="1:6">
      <c r="A7" s="8" t="s">
        <v>68</v>
      </c>
      <c r="B7" s="8" t="s">
        <v>121</v>
      </c>
      <c r="C7" s="8" t="s">
        <v>223</v>
      </c>
      <c r="D7" s="8" t="s">
        <v>18</v>
      </c>
      <c r="E7" s="8" t="s">
        <v>224</v>
      </c>
      <c r="F7" s="8" t="s">
        <v>185</v>
      </c>
    </row>
    <row r="8" spans="1:6">
      <c r="A8" s="9" t="s">
        <v>11</v>
      </c>
      <c r="B8" s="9" t="s">
        <v>132</v>
      </c>
      <c r="C8" s="9" t="s">
        <v>186</v>
      </c>
      <c r="D8" s="9" t="s">
        <v>28</v>
      </c>
      <c r="E8" s="10" t="s">
        <v>225</v>
      </c>
      <c r="F8" s="9" t="s">
        <v>188</v>
      </c>
    </row>
    <row r="9" spans="1:6">
      <c r="A9" s="9" t="s">
        <v>103</v>
      </c>
      <c r="B9" s="9" t="s">
        <v>145</v>
      </c>
      <c r="C9" s="9" t="s">
        <v>98</v>
      </c>
      <c r="D9" s="9" t="s">
        <v>226</v>
      </c>
      <c r="E9" s="10" t="s">
        <v>227</v>
      </c>
      <c r="F9" s="9" t="s">
        <v>191</v>
      </c>
    </row>
    <row r="10" spans="1:6">
      <c r="A10" s="9" t="s">
        <v>83</v>
      </c>
      <c r="B10" s="9" t="s">
        <v>158</v>
      </c>
      <c r="C10" s="9" t="s">
        <v>194</v>
      </c>
      <c r="E10" s="10" t="s">
        <v>228</v>
      </c>
    </row>
    <row r="11" spans="1:6">
      <c r="A11" s="9" t="s">
        <v>12</v>
      </c>
      <c r="B11" s="9" t="s">
        <v>161</v>
      </c>
      <c r="C11" s="9" t="s">
        <v>192</v>
      </c>
      <c r="E11" s="10" t="s">
        <v>229</v>
      </c>
    </row>
    <row r="12" spans="1:6">
      <c r="A12" s="9" t="s">
        <v>98</v>
      </c>
      <c r="B12" s="9" t="s">
        <v>176</v>
      </c>
      <c r="C12" s="9" t="s">
        <v>197</v>
      </c>
      <c r="E12" s="10" t="s">
        <v>230</v>
      </c>
    </row>
    <row r="13" spans="1:6">
      <c r="E13" s="10" t="s">
        <v>231</v>
      </c>
    </row>
    <row r="14" spans="1:6">
      <c r="E14" s="10" t="s">
        <v>232</v>
      </c>
    </row>
    <row r="15" spans="1:6">
      <c r="E15" s="10" t="s">
        <v>233</v>
      </c>
    </row>
    <row r="16" spans="1:6">
      <c r="E16" s="10" t="s">
        <v>234</v>
      </c>
    </row>
    <row r="17" spans="5:5">
      <c r="E17" s="10" t="s">
        <v>235</v>
      </c>
    </row>
    <row r="18" spans="5:5">
      <c r="E18" s="10" t="s">
        <v>236</v>
      </c>
    </row>
    <row r="19" spans="5:5">
      <c r="E19" s="10" t="s">
        <v>237</v>
      </c>
    </row>
    <row r="20" spans="5:5">
      <c r="E20" s="10" t="s">
        <v>238</v>
      </c>
    </row>
    <row r="21" spans="5:5">
      <c r="E21" s="10" t="s">
        <v>239</v>
      </c>
    </row>
    <row r="22" spans="5:5">
      <c r="E22" s="10" t="s">
        <v>240</v>
      </c>
    </row>
    <row r="23" spans="5:5">
      <c r="E23" s="10" t="s">
        <v>241</v>
      </c>
    </row>
    <row r="24" spans="5:5">
      <c r="E24" s="10" t="s">
        <v>242</v>
      </c>
    </row>
    <row r="25" spans="5:5">
      <c r="E25" s="10" t="s">
        <v>243</v>
      </c>
    </row>
    <row r="26" spans="5:5">
      <c r="E26" s="10" t="s">
        <v>244</v>
      </c>
    </row>
    <row r="27" spans="5:5">
      <c r="E27" s="10" t="s">
        <v>245</v>
      </c>
    </row>
    <row r="28" spans="5:5">
      <c r="E28" s="10" t="s">
        <v>246</v>
      </c>
    </row>
    <row r="29" spans="5:5">
      <c r="E29" s="10" t="s">
        <v>247</v>
      </c>
    </row>
    <row r="30" spans="5:5">
      <c r="E30" s="10" t="s">
        <v>248</v>
      </c>
    </row>
    <row r="31" spans="5:5">
      <c r="E31" s="10" t="s">
        <v>249</v>
      </c>
    </row>
    <row r="32" spans="5:5">
      <c r="E32" s="10" t="s">
        <v>250</v>
      </c>
    </row>
    <row r="33" spans="5:5">
      <c r="E33" s="10" t="s">
        <v>251</v>
      </c>
    </row>
    <row r="34" spans="5:5">
      <c r="E34" s="10" t="s">
        <v>252</v>
      </c>
    </row>
    <row r="35" spans="5:5">
      <c r="E35" s="10" t="s">
        <v>253</v>
      </c>
    </row>
    <row r="36" spans="5:5">
      <c r="E36" s="10" t="s">
        <v>254</v>
      </c>
    </row>
    <row r="37" spans="5:5">
      <c r="E37" s="10" t="s">
        <v>255</v>
      </c>
    </row>
    <row r="38" spans="5:5">
      <c r="E38" s="10" t="s">
        <v>256</v>
      </c>
    </row>
    <row r="39" spans="5:5">
      <c r="E39" s="10" t="s">
        <v>257</v>
      </c>
    </row>
    <row r="40" spans="5:5">
      <c r="E40" s="10" t="s">
        <v>258</v>
      </c>
    </row>
    <row r="41" spans="5:5">
      <c r="E41" s="10" t="s">
        <v>259</v>
      </c>
    </row>
    <row r="42" spans="5:5">
      <c r="E42" s="10" t="s">
        <v>260</v>
      </c>
    </row>
    <row r="43" spans="5:5">
      <c r="E43" s="10" t="s">
        <v>261</v>
      </c>
    </row>
    <row r="44" spans="5:5">
      <c r="E44" s="10" t="s">
        <v>262</v>
      </c>
    </row>
    <row r="45" spans="5:5">
      <c r="E45" s="10" t="s">
        <v>263</v>
      </c>
    </row>
    <row r="46" spans="5:5">
      <c r="E46" s="10" t="s">
        <v>264</v>
      </c>
    </row>
    <row r="47" spans="5:5">
      <c r="E47" s="10" t="s">
        <v>265</v>
      </c>
    </row>
    <row r="48" spans="5:5">
      <c r="E48" s="10" t="s">
        <v>266</v>
      </c>
    </row>
    <row r="49" spans="5:5">
      <c r="E49" s="10" t="s">
        <v>267</v>
      </c>
    </row>
    <row r="50" spans="5:5">
      <c r="E50" s="10" t="s">
        <v>268</v>
      </c>
    </row>
    <row r="51" spans="5:5">
      <c r="E51" s="10" t="s">
        <v>269</v>
      </c>
    </row>
    <row r="52" spans="5:5">
      <c r="E52" s="10" t="s">
        <v>270</v>
      </c>
    </row>
    <row r="53" spans="5:5">
      <c r="E53" s="10" t="s">
        <v>271</v>
      </c>
    </row>
    <row r="54" spans="5:5">
      <c r="E54" s="10" t="s">
        <v>272</v>
      </c>
    </row>
    <row r="55" spans="5:5">
      <c r="E55" s="10" t="s">
        <v>273</v>
      </c>
    </row>
    <row r="56" spans="5:5">
      <c r="E56" s="10" t="s">
        <v>274</v>
      </c>
    </row>
    <row r="57" spans="5:5">
      <c r="E57" s="10" t="s">
        <v>275</v>
      </c>
    </row>
    <row r="58" spans="5:5">
      <c r="E58" s="10" t="s">
        <v>276</v>
      </c>
    </row>
    <row r="59" spans="5:5">
      <c r="E59" s="10" t="s">
        <v>277</v>
      </c>
    </row>
    <row r="60" spans="5:5">
      <c r="E60" s="10" t="s">
        <v>278</v>
      </c>
    </row>
    <row r="61" spans="5:5">
      <c r="E61" s="10" t="s">
        <v>279</v>
      </c>
    </row>
    <row r="62" spans="5:5">
      <c r="E62" s="10" t="s">
        <v>280</v>
      </c>
    </row>
    <row r="63" spans="5:5">
      <c r="E63" s="10" t="s">
        <v>281</v>
      </c>
    </row>
    <row r="64" spans="5:5">
      <c r="E64" s="10" t="s">
        <v>282</v>
      </c>
    </row>
    <row r="65" spans="5:5">
      <c r="E65" s="10" t="s">
        <v>283</v>
      </c>
    </row>
    <row r="66" spans="5:5">
      <c r="E66" s="10" t="s">
        <v>284</v>
      </c>
    </row>
    <row r="67" spans="5:5">
      <c r="E67" s="10" t="s">
        <v>285</v>
      </c>
    </row>
    <row r="68" spans="5:5">
      <c r="E68" s="10" t="s">
        <v>286</v>
      </c>
    </row>
    <row r="69" spans="5:5">
      <c r="E69" s="10" t="s">
        <v>287</v>
      </c>
    </row>
    <row r="70" spans="5:5">
      <c r="E70" s="10" t="s">
        <v>288</v>
      </c>
    </row>
    <row r="71" spans="5:5">
      <c r="E71" s="10" t="s">
        <v>289</v>
      </c>
    </row>
    <row r="72" spans="5:5">
      <c r="E72" s="10" t="s">
        <v>290</v>
      </c>
    </row>
    <row r="73" spans="5:5">
      <c r="E73" s="10" t="s">
        <v>291</v>
      </c>
    </row>
    <row r="74" ht="24" spans="5:5">
      <c r="E74" s="10" t="s">
        <v>292</v>
      </c>
    </row>
    <row r="75" ht="24" spans="5:5">
      <c r="E75" s="10" t="s">
        <v>293</v>
      </c>
    </row>
    <row r="76" ht="24" spans="5:5">
      <c r="E76" s="10" t="s">
        <v>294</v>
      </c>
    </row>
    <row r="77" ht="24" spans="5:5">
      <c r="E77" s="10" t="s">
        <v>295</v>
      </c>
    </row>
    <row r="78" ht="24" spans="5:5">
      <c r="E78" s="10" t="s">
        <v>296</v>
      </c>
    </row>
    <row r="79" ht="24" spans="5:5">
      <c r="E79" s="10" t="s">
        <v>297</v>
      </c>
    </row>
    <row r="80" ht="24" spans="5:5">
      <c r="E80" s="10" t="s">
        <v>298</v>
      </c>
    </row>
    <row r="81" ht="24" spans="5:5">
      <c r="E81" s="10" t="s">
        <v>299</v>
      </c>
    </row>
    <row r="82" ht="24" spans="5:5">
      <c r="E82" s="10" t="s">
        <v>300</v>
      </c>
    </row>
    <row r="83" ht="24" spans="5:5">
      <c r="E83" s="10" t="s">
        <v>301</v>
      </c>
    </row>
    <row r="84" spans="5:5">
      <c r="E84" s="10" t="s">
        <v>302</v>
      </c>
    </row>
    <row r="85" spans="5:5">
      <c r="E85" s="10" t="s">
        <v>303</v>
      </c>
    </row>
    <row r="86" spans="5:5">
      <c r="E86" s="10" t="s">
        <v>304</v>
      </c>
    </row>
    <row r="87" spans="5:5">
      <c r="E87" s="10" t="s">
        <v>305</v>
      </c>
    </row>
    <row r="88" spans="5:5">
      <c r="E88" s="10" t="s">
        <v>306</v>
      </c>
    </row>
    <row r="89" spans="5:5">
      <c r="E89" s="10" t="s">
        <v>307</v>
      </c>
    </row>
    <row r="90" spans="5:5">
      <c r="E90" s="10" t="s">
        <v>308</v>
      </c>
    </row>
    <row r="91" spans="5:5">
      <c r="E91" s="10" t="s">
        <v>309</v>
      </c>
    </row>
    <row r="92" spans="5:5">
      <c r="E92" s="10" t="s">
        <v>310</v>
      </c>
    </row>
    <row r="93" spans="5:5">
      <c r="E93" s="10" t="s">
        <v>311</v>
      </c>
    </row>
    <row r="94" spans="5:5">
      <c r="E94" s="10" t="s">
        <v>312</v>
      </c>
    </row>
    <row r="95" spans="5:5">
      <c r="E95" s="10" t="s">
        <v>313</v>
      </c>
    </row>
    <row r="96" spans="5:5">
      <c r="E96" s="10" t="s">
        <v>314</v>
      </c>
    </row>
    <row r="97" spans="5:5">
      <c r="E97" s="10" t="s">
        <v>315</v>
      </c>
    </row>
    <row r="98" spans="5:5">
      <c r="E98" s="10" t="s">
        <v>316</v>
      </c>
    </row>
    <row r="99" spans="5:5">
      <c r="E99" s="10" t="s">
        <v>317</v>
      </c>
    </row>
    <row r="100" spans="5:5">
      <c r="E100" s="10" t="s">
        <v>318</v>
      </c>
    </row>
    <row r="101" spans="5:5">
      <c r="E101" s="10" t="s">
        <v>319</v>
      </c>
    </row>
    <row r="102" spans="5:5">
      <c r="E102" s="10" t="s">
        <v>320</v>
      </c>
    </row>
    <row r="103" spans="5:5">
      <c r="E103" s="10" t="s">
        <v>321</v>
      </c>
    </row>
    <row r="104" spans="5:5">
      <c r="E104" s="10" t="s">
        <v>322</v>
      </c>
    </row>
    <row r="105" spans="5:5">
      <c r="E105" s="10" t="s">
        <v>323</v>
      </c>
    </row>
    <row r="106" ht="24" spans="5:5">
      <c r="E106" s="10" t="s">
        <v>324</v>
      </c>
    </row>
    <row r="107" spans="5:5">
      <c r="E107" s="10" t="s">
        <v>325</v>
      </c>
    </row>
    <row r="108" spans="5:5">
      <c r="E108" s="10" t="s">
        <v>326</v>
      </c>
    </row>
    <row r="109" spans="5:5">
      <c r="E109" s="10" t="s">
        <v>327</v>
      </c>
    </row>
    <row r="110" spans="5:5">
      <c r="E110" s="10" t="s">
        <v>328</v>
      </c>
    </row>
    <row r="111" spans="5:5">
      <c r="E111" s="10" t="s">
        <v>329</v>
      </c>
    </row>
    <row r="112" spans="5:5">
      <c r="E112" s="10" t="s">
        <v>330</v>
      </c>
    </row>
    <row r="113" spans="5:5">
      <c r="E113" s="10" t="s">
        <v>331</v>
      </c>
    </row>
    <row r="114" spans="5:5">
      <c r="E114" s="10" t="s">
        <v>332</v>
      </c>
    </row>
    <row r="115" spans="5:5">
      <c r="E115" s="10" t="s">
        <v>333</v>
      </c>
    </row>
    <row r="116" spans="5:5">
      <c r="E116" s="10" t="s">
        <v>334</v>
      </c>
    </row>
    <row r="117" spans="5:5">
      <c r="E117" s="10" t="s">
        <v>335</v>
      </c>
    </row>
    <row r="118" spans="5:5">
      <c r="E118" s="10" t="s">
        <v>336</v>
      </c>
    </row>
    <row r="119" spans="5:5">
      <c r="E119" s="10" t="s">
        <v>337</v>
      </c>
    </row>
    <row r="120" spans="5:5">
      <c r="E120" s="10" t="s">
        <v>338</v>
      </c>
    </row>
    <row r="121" spans="5:5">
      <c r="E121" s="10" t="s">
        <v>339</v>
      </c>
    </row>
    <row r="122" spans="5:5">
      <c r="E122" s="10" t="s">
        <v>340</v>
      </c>
    </row>
    <row r="123" spans="5:5">
      <c r="E123" s="10" t="s">
        <v>341</v>
      </c>
    </row>
    <row r="124" spans="5:5">
      <c r="E124" s="10" t="s">
        <v>342</v>
      </c>
    </row>
    <row r="125" spans="5:5">
      <c r="E125" s="10" t="s">
        <v>343</v>
      </c>
    </row>
    <row r="126" ht="24" spans="5:5">
      <c r="E126" s="10" t="s">
        <v>344</v>
      </c>
    </row>
    <row r="127" spans="5:5">
      <c r="E127" s="10" t="s">
        <v>345</v>
      </c>
    </row>
    <row r="128" spans="5:5">
      <c r="E128" s="10" t="s">
        <v>346</v>
      </c>
    </row>
    <row r="129" spans="5:5">
      <c r="E129" s="10" t="s">
        <v>347</v>
      </c>
    </row>
    <row r="130" spans="5:5">
      <c r="E130" s="10" t="s">
        <v>348</v>
      </c>
    </row>
    <row r="131" spans="5:5">
      <c r="E131" s="10" t="s">
        <v>349</v>
      </c>
    </row>
    <row r="132" spans="5:5">
      <c r="E132" s="10" t="s">
        <v>350</v>
      </c>
    </row>
    <row r="133" spans="5:5">
      <c r="E133" s="10" t="s">
        <v>351</v>
      </c>
    </row>
    <row r="134" spans="5:5">
      <c r="E134" s="10" t="s">
        <v>352</v>
      </c>
    </row>
    <row r="135" spans="5:5">
      <c r="E135" s="10" t="s">
        <v>353</v>
      </c>
    </row>
    <row r="136" spans="5:5">
      <c r="E136" s="10" t="s">
        <v>354</v>
      </c>
    </row>
    <row r="137" spans="5:5">
      <c r="E137" s="10" t="s">
        <v>355</v>
      </c>
    </row>
    <row r="138" spans="5:5">
      <c r="E138" s="10" t="s">
        <v>356</v>
      </c>
    </row>
    <row r="139" spans="5:5">
      <c r="E139" s="10" t="s">
        <v>357</v>
      </c>
    </row>
    <row r="140" spans="5:5">
      <c r="E140" s="10" t="s">
        <v>358</v>
      </c>
    </row>
    <row r="141" spans="5:5">
      <c r="E141" s="10" t="s">
        <v>359</v>
      </c>
    </row>
    <row r="142" spans="5:5">
      <c r="E142" s="10" t="s">
        <v>360</v>
      </c>
    </row>
    <row r="143" spans="5:5">
      <c r="E143" s="10" t="s">
        <v>361</v>
      </c>
    </row>
    <row r="144" spans="5:5">
      <c r="E144" s="10" t="s">
        <v>362</v>
      </c>
    </row>
    <row r="145" spans="5:5">
      <c r="E145" s="10" t="s">
        <v>363</v>
      </c>
    </row>
    <row r="146" spans="5:5">
      <c r="E146" s="10" t="s">
        <v>364</v>
      </c>
    </row>
    <row r="147" spans="5:5">
      <c r="E147" s="10" t="s">
        <v>365</v>
      </c>
    </row>
    <row r="148" spans="5:5">
      <c r="E148" s="10" t="s">
        <v>366</v>
      </c>
    </row>
    <row r="149" spans="5:5">
      <c r="E149" s="10" t="s">
        <v>367</v>
      </c>
    </row>
    <row r="150" spans="5:5">
      <c r="E150" s="10" t="s">
        <v>368</v>
      </c>
    </row>
    <row r="151" spans="5:5">
      <c r="E151" s="10" t="s">
        <v>369</v>
      </c>
    </row>
    <row r="152" spans="5:5">
      <c r="E152" s="10" t="s">
        <v>370</v>
      </c>
    </row>
    <row r="153" spans="5:5">
      <c r="E153" s="10" t="s">
        <v>371</v>
      </c>
    </row>
    <row r="154" spans="5:5">
      <c r="E154" s="10" t="s">
        <v>372</v>
      </c>
    </row>
    <row r="155" spans="5:5">
      <c r="E155" s="10" t="s">
        <v>373</v>
      </c>
    </row>
    <row r="156" spans="5:5">
      <c r="E156" s="10" t="s">
        <v>374</v>
      </c>
    </row>
    <row r="157" spans="5:5">
      <c r="E157" s="10" t="s">
        <v>375</v>
      </c>
    </row>
    <row r="158" spans="5:5">
      <c r="E158" s="10" t="s">
        <v>376</v>
      </c>
    </row>
    <row r="159" spans="5:5">
      <c r="E159" s="10" t="s">
        <v>377</v>
      </c>
    </row>
    <row r="160" spans="5:5">
      <c r="E160" s="10" t="s">
        <v>378</v>
      </c>
    </row>
    <row r="161" spans="5:5">
      <c r="E161" s="10" t="s">
        <v>379</v>
      </c>
    </row>
    <row r="162" spans="5:5">
      <c r="E162" s="10" t="s">
        <v>380</v>
      </c>
    </row>
    <row r="163" spans="5:5">
      <c r="E163" s="10" t="s">
        <v>381</v>
      </c>
    </row>
    <row r="164" spans="5:5">
      <c r="E164" s="10" t="s">
        <v>382</v>
      </c>
    </row>
    <row r="165" spans="5:5">
      <c r="E165" s="10" t="s">
        <v>383</v>
      </c>
    </row>
    <row r="166" spans="5:5">
      <c r="E166" s="10" t="s">
        <v>384</v>
      </c>
    </row>
    <row r="167" spans="5:5">
      <c r="E167" s="10" t="s">
        <v>385</v>
      </c>
    </row>
    <row r="168" spans="5:5">
      <c r="E168" s="10" t="s">
        <v>386</v>
      </c>
    </row>
    <row r="169" spans="5:5">
      <c r="E169" s="10" t="s">
        <v>387</v>
      </c>
    </row>
    <row r="170" spans="5:5">
      <c r="E170" s="10" t="s">
        <v>388</v>
      </c>
    </row>
    <row r="171" spans="5:5">
      <c r="E171" s="10" t="s">
        <v>389</v>
      </c>
    </row>
    <row r="172" spans="5:5">
      <c r="E172" s="10" t="s">
        <v>390</v>
      </c>
    </row>
    <row r="173" spans="5:5">
      <c r="E173" s="10" t="s">
        <v>391</v>
      </c>
    </row>
    <row r="174" spans="5:5">
      <c r="E174" s="10" t="s">
        <v>392</v>
      </c>
    </row>
    <row r="175" spans="5:5">
      <c r="E175" s="10" t="s">
        <v>393</v>
      </c>
    </row>
    <row r="176" spans="5:5">
      <c r="E176" s="10" t="s">
        <v>394</v>
      </c>
    </row>
    <row r="177" spans="5:5">
      <c r="E177" s="10" t="s">
        <v>395</v>
      </c>
    </row>
    <row r="178" spans="5:5">
      <c r="E178" s="10" t="s">
        <v>396</v>
      </c>
    </row>
    <row r="179" spans="5:5">
      <c r="E179" s="10" t="s">
        <v>397</v>
      </c>
    </row>
    <row r="180" spans="5:5">
      <c r="E180" s="10" t="s">
        <v>398</v>
      </c>
    </row>
    <row r="181" spans="5:5">
      <c r="E181" s="10" t="s">
        <v>399</v>
      </c>
    </row>
    <row r="182" spans="5:5">
      <c r="E182" s="10" t="s">
        <v>400</v>
      </c>
    </row>
    <row r="183" spans="5:5">
      <c r="E183" s="10" t="s">
        <v>401</v>
      </c>
    </row>
    <row r="184" spans="5:5">
      <c r="E184" s="10" t="s">
        <v>402</v>
      </c>
    </row>
    <row r="185" spans="5:5">
      <c r="E185" s="10" t="s">
        <v>403</v>
      </c>
    </row>
    <row r="186" spans="5:5">
      <c r="E186" s="10" t="s">
        <v>404</v>
      </c>
    </row>
    <row r="187" spans="5:5">
      <c r="E187" s="10" t="s">
        <v>405</v>
      </c>
    </row>
    <row r="188" spans="5:5">
      <c r="E188" s="10" t="s">
        <v>406</v>
      </c>
    </row>
    <row r="189" spans="5:5">
      <c r="E189" s="10" t="s">
        <v>407</v>
      </c>
    </row>
    <row r="190" spans="5:5">
      <c r="E190" s="10" t="s">
        <v>408</v>
      </c>
    </row>
    <row r="191" spans="5:5">
      <c r="E191" s="10" t="s">
        <v>409</v>
      </c>
    </row>
    <row r="192" spans="5:5">
      <c r="E192" s="10" t="s">
        <v>410</v>
      </c>
    </row>
    <row r="193" spans="5:5">
      <c r="E193" s="10" t="s">
        <v>411</v>
      </c>
    </row>
    <row r="194" spans="5:5">
      <c r="E194" s="10" t="s">
        <v>412</v>
      </c>
    </row>
    <row r="195" spans="5:5">
      <c r="E195" s="10" t="s">
        <v>413</v>
      </c>
    </row>
    <row r="196" spans="5:5">
      <c r="E196" s="10" t="s">
        <v>414</v>
      </c>
    </row>
    <row r="197" spans="5:5">
      <c r="E197" s="10" t="s">
        <v>415</v>
      </c>
    </row>
    <row r="198" spans="5:5">
      <c r="E198" s="10" t="s">
        <v>416</v>
      </c>
    </row>
    <row r="199" spans="5:5">
      <c r="E199" s="10" t="s">
        <v>417</v>
      </c>
    </row>
    <row r="200" spans="5:5">
      <c r="E200" s="10" t="s">
        <v>418</v>
      </c>
    </row>
    <row r="201" spans="5:5">
      <c r="E201" s="10" t="s">
        <v>419</v>
      </c>
    </row>
    <row r="202" spans="5:5">
      <c r="E202" s="10" t="s">
        <v>420</v>
      </c>
    </row>
    <row r="203" spans="5:5">
      <c r="E203" s="10" t="s">
        <v>421</v>
      </c>
    </row>
    <row r="204" spans="5:5">
      <c r="E204" s="10" t="s">
        <v>422</v>
      </c>
    </row>
    <row r="205" spans="5:5">
      <c r="E205" s="10" t="s">
        <v>423</v>
      </c>
    </row>
    <row r="206" spans="5:5">
      <c r="E206" s="10" t="s">
        <v>424</v>
      </c>
    </row>
    <row r="207" spans="5:5">
      <c r="E207" s="10" t="s">
        <v>425</v>
      </c>
    </row>
    <row r="208" spans="5:5">
      <c r="E208" s="10" t="s">
        <v>426</v>
      </c>
    </row>
    <row r="209" spans="5:5">
      <c r="E209" s="10" t="s">
        <v>427</v>
      </c>
    </row>
    <row r="210" spans="5:5">
      <c r="E210" s="10" t="s">
        <v>428</v>
      </c>
    </row>
    <row r="211" spans="5:5">
      <c r="E211" s="10" t="s">
        <v>429</v>
      </c>
    </row>
    <row r="212" spans="5:5">
      <c r="E212" s="10" t="s">
        <v>430</v>
      </c>
    </row>
    <row r="213" spans="5:5">
      <c r="E213" s="10" t="s">
        <v>431</v>
      </c>
    </row>
    <row r="214" spans="5:5">
      <c r="E214" s="10" t="s">
        <v>432</v>
      </c>
    </row>
    <row r="215" spans="5:5">
      <c r="E215" s="10" t="s">
        <v>433</v>
      </c>
    </row>
    <row r="216" spans="5:5">
      <c r="E216" s="10" t="s">
        <v>434</v>
      </c>
    </row>
    <row r="217" spans="5:5">
      <c r="E217" s="10" t="s">
        <v>435</v>
      </c>
    </row>
    <row r="218" spans="5:5">
      <c r="E218" s="10" t="s">
        <v>436</v>
      </c>
    </row>
    <row r="219" spans="5:5">
      <c r="E219" s="10" t="s">
        <v>437</v>
      </c>
    </row>
    <row r="220" spans="5:5">
      <c r="E220" s="10" t="s">
        <v>438</v>
      </c>
    </row>
    <row r="221" spans="5:5">
      <c r="E221" s="10" t="s">
        <v>439</v>
      </c>
    </row>
    <row r="222" spans="5:5">
      <c r="E222" s="10" t="s">
        <v>440</v>
      </c>
    </row>
    <row r="223" spans="5:5">
      <c r="E223" s="10" t="s">
        <v>441</v>
      </c>
    </row>
    <row r="224" spans="5:5">
      <c r="E224" s="10" t="s">
        <v>442</v>
      </c>
    </row>
    <row r="225" spans="5:5">
      <c r="E225" s="10" t="s">
        <v>443</v>
      </c>
    </row>
    <row r="226" spans="5:5">
      <c r="E226" s="10" t="s">
        <v>444</v>
      </c>
    </row>
    <row r="227" spans="5:5">
      <c r="E227" s="10" t="s">
        <v>445</v>
      </c>
    </row>
    <row r="228" spans="5:5">
      <c r="E228" s="10" t="s">
        <v>446</v>
      </c>
    </row>
    <row r="229" spans="5:5">
      <c r="E229" s="10" t="s">
        <v>447</v>
      </c>
    </row>
    <row r="230" spans="5:5">
      <c r="E230" s="10" t="s">
        <v>448</v>
      </c>
    </row>
    <row r="231" ht="24" spans="5:5">
      <c r="E231" s="10" t="s">
        <v>449</v>
      </c>
    </row>
    <row r="232" spans="5:5">
      <c r="E232" s="10" t="s">
        <v>450</v>
      </c>
    </row>
    <row r="233" spans="5:5">
      <c r="E233" s="10" t="s">
        <v>451</v>
      </c>
    </row>
    <row r="234" spans="5:5">
      <c r="E234" s="10" t="s">
        <v>452</v>
      </c>
    </row>
    <row r="235" spans="5:5">
      <c r="E235" s="10" t="s">
        <v>453</v>
      </c>
    </row>
    <row r="236" spans="5:5">
      <c r="E236" s="10" t="s">
        <v>454</v>
      </c>
    </row>
    <row r="237" spans="5:5">
      <c r="E237" s="10" t="s">
        <v>455</v>
      </c>
    </row>
    <row r="238" spans="5:5">
      <c r="E238" s="10" t="s">
        <v>456</v>
      </c>
    </row>
    <row r="239" spans="5:5">
      <c r="E239" s="10" t="s">
        <v>457</v>
      </c>
    </row>
    <row r="240" spans="5:5">
      <c r="E240" s="10" t="s">
        <v>458</v>
      </c>
    </row>
    <row r="241" spans="5:5">
      <c r="E241" s="10" t="s">
        <v>459</v>
      </c>
    </row>
    <row r="242" spans="5:5">
      <c r="E242" s="10" t="s">
        <v>460</v>
      </c>
    </row>
    <row r="243" spans="5:5">
      <c r="E243" s="10" t="s">
        <v>461</v>
      </c>
    </row>
    <row r="244" spans="5:5">
      <c r="E244" s="10" t="s">
        <v>462</v>
      </c>
    </row>
    <row r="245" spans="5:5">
      <c r="E245" s="10" t="s">
        <v>463</v>
      </c>
    </row>
    <row r="246" spans="5:5">
      <c r="E246" s="10" t="s">
        <v>464</v>
      </c>
    </row>
    <row r="247" spans="5:5">
      <c r="E247" s="10" t="s">
        <v>465</v>
      </c>
    </row>
    <row r="248" spans="5:5">
      <c r="E248" s="10" t="s">
        <v>466</v>
      </c>
    </row>
    <row r="249" spans="5:5">
      <c r="E249" s="10" t="s">
        <v>467</v>
      </c>
    </row>
    <row r="250" spans="5:5">
      <c r="E250" s="10" t="s">
        <v>468</v>
      </c>
    </row>
    <row r="251" spans="5:5">
      <c r="E251" s="10" t="s">
        <v>469</v>
      </c>
    </row>
    <row r="252" spans="5:5">
      <c r="E252" s="10" t="s">
        <v>470</v>
      </c>
    </row>
    <row r="253" spans="5:5">
      <c r="E253" s="10" t="s">
        <v>471</v>
      </c>
    </row>
    <row r="254" spans="5:5">
      <c r="E254" s="10" t="s">
        <v>472</v>
      </c>
    </row>
    <row r="255" spans="5:5">
      <c r="E255" s="10" t="s">
        <v>473</v>
      </c>
    </row>
    <row r="256" spans="5:5">
      <c r="E256" s="10" t="s">
        <v>474</v>
      </c>
    </row>
    <row r="257" spans="5:5">
      <c r="E257" s="10" t="s">
        <v>475</v>
      </c>
    </row>
    <row r="258" spans="5:5">
      <c r="E258" s="10" t="s">
        <v>476</v>
      </c>
    </row>
    <row r="259" spans="5:5">
      <c r="E259" s="10" t="s">
        <v>477</v>
      </c>
    </row>
    <row r="260" spans="5:5">
      <c r="E260" s="10" t="s">
        <v>478</v>
      </c>
    </row>
    <row r="261" spans="5:5">
      <c r="E261" s="10" t="s">
        <v>479</v>
      </c>
    </row>
    <row r="262" spans="5:5">
      <c r="E262" s="10" t="s">
        <v>480</v>
      </c>
    </row>
    <row r="263" spans="5:5">
      <c r="E263" s="10" t="s">
        <v>481</v>
      </c>
    </row>
    <row r="264" spans="5:5">
      <c r="E264" s="10" t="s">
        <v>482</v>
      </c>
    </row>
    <row r="265" spans="5:5">
      <c r="E265" s="10" t="s">
        <v>483</v>
      </c>
    </row>
    <row r="266" spans="5:5">
      <c r="E266" s="10" t="s">
        <v>484</v>
      </c>
    </row>
    <row r="267" spans="5:5">
      <c r="E267" s="10" t="s">
        <v>485</v>
      </c>
    </row>
    <row r="268" ht="24" spans="5:5">
      <c r="E268" s="10" t="s">
        <v>486</v>
      </c>
    </row>
    <row r="269" spans="5:5">
      <c r="E269" s="10" t="s">
        <v>487</v>
      </c>
    </row>
    <row r="270" spans="5:5">
      <c r="E270" s="10" t="s">
        <v>488</v>
      </c>
    </row>
    <row r="271" spans="5:5">
      <c r="E271" s="10" t="s">
        <v>489</v>
      </c>
    </row>
    <row r="272" spans="5:5">
      <c r="E272" s="10" t="s">
        <v>490</v>
      </c>
    </row>
    <row r="273" spans="5:5">
      <c r="E273" s="10" t="s">
        <v>491</v>
      </c>
    </row>
    <row r="274" spans="5:5">
      <c r="E274" s="10" t="s">
        <v>492</v>
      </c>
    </row>
    <row r="275" spans="5:5">
      <c r="E275" s="10" t="s">
        <v>493</v>
      </c>
    </row>
    <row r="276" spans="5:5">
      <c r="E276" s="10" t="s">
        <v>494</v>
      </c>
    </row>
    <row r="277" spans="5:5">
      <c r="E277" s="10" t="s">
        <v>495</v>
      </c>
    </row>
    <row r="278" spans="5:5">
      <c r="E278" s="10" t="s">
        <v>496</v>
      </c>
    </row>
    <row r="279" spans="5:5">
      <c r="E279" s="10" t="s">
        <v>497</v>
      </c>
    </row>
    <row r="280" spans="5:5">
      <c r="E280" s="10" t="s">
        <v>498</v>
      </c>
    </row>
    <row r="281" spans="5:5">
      <c r="E281" s="10" t="s">
        <v>499</v>
      </c>
    </row>
    <row r="282" spans="5:5">
      <c r="E282" s="10" t="s">
        <v>500</v>
      </c>
    </row>
    <row r="283" spans="5:5">
      <c r="E283" s="10" t="s">
        <v>501</v>
      </c>
    </row>
    <row r="284" spans="5:5">
      <c r="E284" s="10" t="s">
        <v>502</v>
      </c>
    </row>
    <row r="285" spans="5:5">
      <c r="E285" s="10" t="s">
        <v>503</v>
      </c>
    </row>
    <row r="286" spans="5:5">
      <c r="E286" s="10" t="s">
        <v>504</v>
      </c>
    </row>
    <row r="287" spans="5:5">
      <c r="E287" s="10" t="s">
        <v>505</v>
      </c>
    </row>
    <row r="288" spans="5:5">
      <c r="E288" s="10" t="s">
        <v>506</v>
      </c>
    </row>
    <row r="289" spans="5:5">
      <c r="E289" s="10" t="s">
        <v>507</v>
      </c>
    </row>
    <row r="290" spans="5:5">
      <c r="E290" s="10" t="s">
        <v>508</v>
      </c>
    </row>
    <row r="291" spans="5:5">
      <c r="E291" s="10" t="s">
        <v>509</v>
      </c>
    </row>
    <row r="292" spans="5:5">
      <c r="E292" s="10" t="s">
        <v>510</v>
      </c>
    </row>
    <row r="293" spans="5:5">
      <c r="E293" s="10" t="s">
        <v>511</v>
      </c>
    </row>
    <row r="294" spans="5:5">
      <c r="E294" s="10" t="s">
        <v>512</v>
      </c>
    </row>
    <row r="295" spans="5:5">
      <c r="E295" s="10" t="s">
        <v>513</v>
      </c>
    </row>
    <row r="296" spans="5:5">
      <c r="E296" s="10" t="s">
        <v>514</v>
      </c>
    </row>
    <row r="297" spans="5:5">
      <c r="E297" s="10" t="s">
        <v>515</v>
      </c>
    </row>
    <row r="298" spans="5:5">
      <c r="E298" s="10" t="s">
        <v>516</v>
      </c>
    </row>
    <row r="299" spans="5:5">
      <c r="E299" s="10" t="s">
        <v>517</v>
      </c>
    </row>
    <row r="300" spans="5:5">
      <c r="E300" s="10" t="s">
        <v>518</v>
      </c>
    </row>
    <row r="301" spans="5:5">
      <c r="E301" s="10" t="s">
        <v>519</v>
      </c>
    </row>
    <row r="302" spans="5:5">
      <c r="E302" s="10" t="s">
        <v>520</v>
      </c>
    </row>
    <row r="303" spans="5:5">
      <c r="E303" s="10" t="s">
        <v>521</v>
      </c>
    </row>
    <row r="304" spans="5:5">
      <c r="E304" s="10" t="s">
        <v>522</v>
      </c>
    </row>
    <row r="305" spans="5:5">
      <c r="E305" s="10" t="s">
        <v>523</v>
      </c>
    </row>
    <row r="306" spans="5:5">
      <c r="E306" s="10" t="s">
        <v>524</v>
      </c>
    </row>
    <row r="307" spans="5:5">
      <c r="E307" s="10" t="s">
        <v>525</v>
      </c>
    </row>
    <row r="308" spans="5:5">
      <c r="E308" s="10" t="s">
        <v>526</v>
      </c>
    </row>
    <row r="309" spans="5:5">
      <c r="E309" s="10" t="s">
        <v>527</v>
      </c>
    </row>
    <row r="310" spans="5:5">
      <c r="E310" s="10" t="s">
        <v>528</v>
      </c>
    </row>
    <row r="311" spans="5:5">
      <c r="E311" s="10" t="s">
        <v>529</v>
      </c>
    </row>
    <row r="312" spans="5:5">
      <c r="E312" s="10" t="s">
        <v>530</v>
      </c>
    </row>
    <row r="313" spans="5:5">
      <c r="E313" s="10" t="s">
        <v>531</v>
      </c>
    </row>
    <row r="314" spans="5:5">
      <c r="E314" s="10" t="s">
        <v>532</v>
      </c>
    </row>
    <row r="315" spans="5:5">
      <c r="E315" s="10" t="s">
        <v>533</v>
      </c>
    </row>
    <row r="316" spans="5:5">
      <c r="E316" s="10" t="s">
        <v>534</v>
      </c>
    </row>
    <row r="317" spans="5:5">
      <c r="E317" s="10" t="s">
        <v>535</v>
      </c>
    </row>
    <row r="318" spans="5:5">
      <c r="E318" s="10" t="s">
        <v>536</v>
      </c>
    </row>
    <row r="319" spans="5:5">
      <c r="E319" s="10" t="s">
        <v>537</v>
      </c>
    </row>
    <row r="320" spans="5:5">
      <c r="E320" s="10" t="s">
        <v>538</v>
      </c>
    </row>
    <row r="321" spans="5:5">
      <c r="E321" s="10" t="s">
        <v>539</v>
      </c>
    </row>
    <row r="322" spans="5:5">
      <c r="E322" s="10" t="s">
        <v>540</v>
      </c>
    </row>
    <row r="323" spans="5:5">
      <c r="E323" s="10" t="s">
        <v>541</v>
      </c>
    </row>
    <row r="324" spans="5:5">
      <c r="E324" s="10" t="s">
        <v>542</v>
      </c>
    </row>
    <row r="325" spans="5:5">
      <c r="E325" s="10" t="s">
        <v>543</v>
      </c>
    </row>
    <row r="326" spans="5:5">
      <c r="E326" s="10" t="s">
        <v>544</v>
      </c>
    </row>
    <row r="327" spans="5:5">
      <c r="E327" s="10" t="s">
        <v>545</v>
      </c>
    </row>
    <row r="328" spans="5:5">
      <c r="E328" s="10" t="s">
        <v>546</v>
      </c>
    </row>
    <row r="329" spans="5:5">
      <c r="E329" s="10" t="s">
        <v>547</v>
      </c>
    </row>
    <row r="330" spans="5:5">
      <c r="E330" s="10" t="s">
        <v>548</v>
      </c>
    </row>
    <row r="331" spans="5:5">
      <c r="E331" s="10" t="s">
        <v>549</v>
      </c>
    </row>
    <row r="332" spans="5:5">
      <c r="E332" s="10" t="s">
        <v>550</v>
      </c>
    </row>
    <row r="333" spans="5:5">
      <c r="E333" s="10" t="s">
        <v>551</v>
      </c>
    </row>
    <row r="334" spans="5:5">
      <c r="E334" s="10" t="s">
        <v>552</v>
      </c>
    </row>
    <row r="335" spans="5:5">
      <c r="E335" s="10" t="s">
        <v>553</v>
      </c>
    </row>
    <row r="336" spans="5:5">
      <c r="E336" s="10" t="s">
        <v>554</v>
      </c>
    </row>
    <row r="337" spans="5:5">
      <c r="E337" s="10" t="s">
        <v>555</v>
      </c>
    </row>
    <row r="338" spans="5:5">
      <c r="E338" s="10" t="s">
        <v>556</v>
      </c>
    </row>
    <row r="339" spans="5:5">
      <c r="E339" s="10" t="s">
        <v>557</v>
      </c>
    </row>
    <row r="340" spans="5:5">
      <c r="E340" s="10" t="s">
        <v>558</v>
      </c>
    </row>
    <row r="341" spans="5:5">
      <c r="E341" s="10" t="s">
        <v>559</v>
      </c>
    </row>
    <row r="342" spans="5:5">
      <c r="E342" s="10" t="s">
        <v>560</v>
      </c>
    </row>
    <row r="343" spans="5:5">
      <c r="E343" s="10" t="s">
        <v>561</v>
      </c>
    </row>
    <row r="344" spans="5:5">
      <c r="E344" s="10" t="s">
        <v>562</v>
      </c>
    </row>
    <row r="345" spans="5:5">
      <c r="E345" s="10" t="s">
        <v>563</v>
      </c>
    </row>
    <row r="346" spans="5:5">
      <c r="E346" s="10" t="s">
        <v>564</v>
      </c>
    </row>
    <row r="347" spans="5:5">
      <c r="E347" s="10" t="s">
        <v>565</v>
      </c>
    </row>
    <row r="348" spans="5:5">
      <c r="E348" s="10" t="s">
        <v>566</v>
      </c>
    </row>
    <row r="349" spans="5:5">
      <c r="E349" s="10" t="s">
        <v>567</v>
      </c>
    </row>
    <row r="350" spans="5:5">
      <c r="E350" s="10" t="s">
        <v>568</v>
      </c>
    </row>
    <row r="351" spans="5:5">
      <c r="E351" s="10" t="s">
        <v>569</v>
      </c>
    </row>
    <row r="352" spans="5:5">
      <c r="E352" s="10" t="s">
        <v>570</v>
      </c>
    </row>
    <row r="353" spans="5:5">
      <c r="E353" s="10" t="s">
        <v>571</v>
      </c>
    </row>
    <row r="354" spans="5:5">
      <c r="E354" s="10" t="s">
        <v>572</v>
      </c>
    </row>
    <row r="355" spans="5:5">
      <c r="E355" s="10" t="s">
        <v>573</v>
      </c>
    </row>
    <row r="356" spans="5:5">
      <c r="E356" s="10" t="s">
        <v>574</v>
      </c>
    </row>
    <row r="357" spans="5:5">
      <c r="E357" s="10" t="s">
        <v>575</v>
      </c>
    </row>
    <row r="358" spans="5:5">
      <c r="E358" s="10" t="s">
        <v>576</v>
      </c>
    </row>
    <row r="359" spans="5:5">
      <c r="E359" s="10" t="s">
        <v>577</v>
      </c>
    </row>
    <row r="360" spans="5:5">
      <c r="E360" s="10" t="s">
        <v>578</v>
      </c>
    </row>
    <row r="361" spans="5:5">
      <c r="E361" s="10" t="s">
        <v>579</v>
      </c>
    </row>
    <row r="362" spans="5:5">
      <c r="E362" s="10" t="s">
        <v>580</v>
      </c>
    </row>
    <row r="363" spans="5:5">
      <c r="E363" s="10" t="s">
        <v>581</v>
      </c>
    </row>
    <row r="364" spans="5:5">
      <c r="E364" s="10" t="s">
        <v>582</v>
      </c>
    </row>
    <row r="365" spans="5:5">
      <c r="E365" s="10" t="s">
        <v>583</v>
      </c>
    </row>
    <row r="366" spans="5:5">
      <c r="E366" s="10" t="s">
        <v>584</v>
      </c>
    </row>
    <row r="367" spans="5:5">
      <c r="E367" s="10" t="s">
        <v>585</v>
      </c>
    </row>
    <row r="368" spans="5:5">
      <c r="E368" s="10" t="s">
        <v>586</v>
      </c>
    </row>
    <row r="369" spans="5:5">
      <c r="E369" s="10" t="s">
        <v>587</v>
      </c>
    </row>
    <row r="370" spans="5:5">
      <c r="E370" s="10" t="s">
        <v>588</v>
      </c>
    </row>
    <row r="371" spans="5:5">
      <c r="E371" s="10" t="s">
        <v>589</v>
      </c>
    </row>
    <row r="372" spans="5:5">
      <c r="E372" s="10" t="s">
        <v>590</v>
      </c>
    </row>
    <row r="373" spans="5:5">
      <c r="E373" s="10" t="s">
        <v>591</v>
      </c>
    </row>
    <row r="374" spans="5:5">
      <c r="E374" s="10" t="s">
        <v>592</v>
      </c>
    </row>
    <row r="375" spans="5:5">
      <c r="E375" s="10" t="s">
        <v>593</v>
      </c>
    </row>
    <row r="376" spans="5:5">
      <c r="E376" s="10" t="s">
        <v>594</v>
      </c>
    </row>
    <row r="377" spans="5:5">
      <c r="E377" s="10" t="s">
        <v>595</v>
      </c>
    </row>
    <row r="378" spans="5:5">
      <c r="E378" s="10" t="s">
        <v>596</v>
      </c>
    </row>
    <row r="379" spans="5:5">
      <c r="E379" s="10" t="s">
        <v>597</v>
      </c>
    </row>
    <row r="380" spans="5:5">
      <c r="E380" s="10" t="s">
        <v>598</v>
      </c>
    </row>
    <row r="381" spans="5:5">
      <c r="E381" s="10" t="s">
        <v>599</v>
      </c>
    </row>
    <row r="382" spans="5:5">
      <c r="E382" s="10" t="s">
        <v>600</v>
      </c>
    </row>
    <row r="383" spans="5:5">
      <c r="E383" s="10" t="s">
        <v>601</v>
      </c>
    </row>
    <row r="384" spans="5:5">
      <c r="E384" s="10" t="s">
        <v>602</v>
      </c>
    </row>
    <row r="385" spans="5:5">
      <c r="E385" s="10" t="s">
        <v>603</v>
      </c>
    </row>
    <row r="386" spans="5:5">
      <c r="E386" s="10" t="s">
        <v>604</v>
      </c>
    </row>
    <row r="387" spans="5:5">
      <c r="E387" s="10" t="s">
        <v>605</v>
      </c>
    </row>
    <row r="388" spans="5:5">
      <c r="E388" s="10" t="s">
        <v>606</v>
      </c>
    </row>
    <row r="389" spans="5:5">
      <c r="E389" s="10" t="s">
        <v>607</v>
      </c>
    </row>
    <row r="390" spans="5:5">
      <c r="E390" s="10" t="s">
        <v>608</v>
      </c>
    </row>
    <row r="391" spans="5:5">
      <c r="E391" s="10" t="s">
        <v>609</v>
      </c>
    </row>
    <row r="392" spans="5:5">
      <c r="E392" s="10" t="s">
        <v>610</v>
      </c>
    </row>
    <row r="393" spans="5:5">
      <c r="E393" s="10" t="s">
        <v>611</v>
      </c>
    </row>
    <row r="394" spans="5:5">
      <c r="E394" s="10" t="s">
        <v>612</v>
      </c>
    </row>
    <row r="395" spans="5:5">
      <c r="E395" s="10" t="s">
        <v>613</v>
      </c>
    </row>
    <row r="396" spans="5:5">
      <c r="E396" s="10" t="s">
        <v>614</v>
      </c>
    </row>
    <row r="397" spans="5:5">
      <c r="E397" s="10" t="s">
        <v>615</v>
      </c>
    </row>
    <row r="398" spans="5:5">
      <c r="E398" s="10" t="s">
        <v>616</v>
      </c>
    </row>
    <row r="399" spans="5:5">
      <c r="E399" s="10" t="s">
        <v>617</v>
      </c>
    </row>
    <row r="400" spans="5:5">
      <c r="E400" s="10" t="s">
        <v>618</v>
      </c>
    </row>
    <row r="401" spans="5:5">
      <c r="E401" s="10" t="s">
        <v>619</v>
      </c>
    </row>
    <row r="402" spans="5:5">
      <c r="E402" s="10" t="s">
        <v>620</v>
      </c>
    </row>
    <row r="403" spans="5:5">
      <c r="E403" s="10" t="s">
        <v>621</v>
      </c>
    </row>
    <row r="404" spans="5:5">
      <c r="E404" s="10" t="s">
        <v>622</v>
      </c>
    </row>
    <row r="405" spans="5:5">
      <c r="E405" s="10" t="s">
        <v>623</v>
      </c>
    </row>
    <row r="406" spans="5:5">
      <c r="E406" s="10" t="s">
        <v>624</v>
      </c>
    </row>
    <row r="407" spans="5:5">
      <c r="E407" s="10" t="s">
        <v>625</v>
      </c>
    </row>
    <row r="408" spans="5:5">
      <c r="E408" s="10" t="s">
        <v>626</v>
      </c>
    </row>
    <row r="409" spans="5:5">
      <c r="E409" s="10" t="s">
        <v>627</v>
      </c>
    </row>
    <row r="410" spans="5:5">
      <c r="E410" s="10" t="s">
        <v>628</v>
      </c>
    </row>
    <row r="411" spans="5:5">
      <c r="E411" s="10" t="s">
        <v>629</v>
      </c>
    </row>
    <row r="412" spans="5:5">
      <c r="E412" s="10" t="s">
        <v>630</v>
      </c>
    </row>
    <row r="413" spans="5:5">
      <c r="E413" s="10" t="s">
        <v>631</v>
      </c>
    </row>
    <row r="414" spans="5:5">
      <c r="E414" s="10" t="s">
        <v>632</v>
      </c>
    </row>
    <row r="415" spans="5:5">
      <c r="E415" s="10" t="s">
        <v>633</v>
      </c>
    </row>
    <row r="416" spans="5:5">
      <c r="E416" s="10" t="s">
        <v>634</v>
      </c>
    </row>
    <row r="417" spans="5:5">
      <c r="E417" s="10" t="s">
        <v>635</v>
      </c>
    </row>
    <row r="418" spans="5:5">
      <c r="E418" s="10" t="s">
        <v>636</v>
      </c>
    </row>
    <row r="419" spans="5:5">
      <c r="E419" s="10" t="s">
        <v>637</v>
      </c>
    </row>
    <row r="420" spans="5:5">
      <c r="E420" s="10" t="s">
        <v>638</v>
      </c>
    </row>
    <row r="421" spans="5:5">
      <c r="E421" s="10" t="s">
        <v>639</v>
      </c>
    </row>
    <row r="422" ht="24" spans="5:5">
      <c r="E422" s="10" t="s">
        <v>640</v>
      </c>
    </row>
    <row r="423" spans="5:5">
      <c r="E423" s="10" t="s">
        <v>641</v>
      </c>
    </row>
    <row r="424" ht="24" spans="5:5">
      <c r="E424" s="10" t="s">
        <v>642</v>
      </c>
    </row>
    <row r="425" ht="24" spans="5:5">
      <c r="E425" s="10" t="s">
        <v>643</v>
      </c>
    </row>
    <row r="426" spans="5:5">
      <c r="E426" s="10" t="s">
        <v>644</v>
      </c>
    </row>
    <row r="427" spans="5:5">
      <c r="E427" s="10" t="s">
        <v>645</v>
      </c>
    </row>
    <row r="428" spans="5:5">
      <c r="E428" s="10" t="s">
        <v>646</v>
      </c>
    </row>
    <row r="429" spans="5:5">
      <c r="E429" s="10" t="s">
        <v>647</v>
      </c>
    </row>
    <row r="430" spans="5:5">
      <c r="E430" s="10" t="s">
        <v>648</v>
      </c>
    </row>
    <row r="431" spans="5:5">
      <c r="E431" s="10" t="s">
        <v>649</v>
      </c>
    </row>
    <row r="432" spans="5:5">
      <c r="E432" s="10" t="s">
        <v>650</v>
      </c>
    </row>
    <row r="433" spans="5:5">
      <c r="E433" s="10" t="s">
        <v>651</v>
      </c>
    </row>
    <row r="434" spans="5:5">
      <c r="E434" s="10" t="s">
        <v>652</v>
      </c>
    </row>
    <row r="435" spans="5:5">
      <c r="E435" s="10" t="s">
        <v>653</v>
      </c>
    </row>
    <row r="436" spans="5:5">
      <c r="E436" s="10" t="s">
        <v>654</v>
      </c>
    </row>
    <row r="437" spans="5:5">
      <c r="E437" s="10" t="s">
        <v>655</v>
      </c>
    </row>
    <row r="438" spans="5:5">
      <c r="E438" s="10" t="s">
        <v>656</v>
      </c>
    </row>
    <row r="439" spans="5:5">
      <c r="E439" s="10" t="s">
        <v>657</v>
      </c>
    </row>
    <row r="440" spans="5:5">
      <c r="E440" s="10" t="s">
        <v>658</v>
      </c>
    </row>
    <row r="441" spans="5:5">
      <c r="E441" s="10" t="s">
        <v>659</v>
      </c>
    </row>
    <row r="442" spans="5:5">
      <c r="E442" s="10" t="s">
        <v>660</v>
      </c>
    </row>
    <row r="443" spans="5:5">
      <c r="E443" s="10" t="s">
        <v>661</v>
      </c>
    </row>
    <row r="444" spans="5:5">
      <c r="E444" s="10" t="s">
        <v>662</v>
      </c>
    </row>
    <row r="445" spans="5:5">
      <c r="E445" s="10" t="s">
        <v>663</v>
      </c>
    </row>
    <row r="446" spans="5:5">
      <c r="E446" s="10" t="s">
        <v>664</v>
      </c>
    </row>
    <row r="447" spans="5:5">
      <c r="E447" s="10" t="s">
        <v>665</v>
      </c>
    </row>
    <row r="448" spans="5:5">
      <c r="E448" s="10" t="s">
        <v>666</v>
      </c>
    </row>
    <row r="449" spans="5:5">
      <c r="E449" s="10" t="s">
        <v>667</v>
      </c>
    </row>
    <row r="450" spans="5:5">
      <c r="E450" s="10" t="s">
        <v>668</v>
      </c>
    </row>
    <row r="451" spans="5:5">
      <c r="E451" s="10" t="s">
        <v>669</v>
      </c>
    </row>
    <row r="452" spans="5:5">
      <c r="E452" s="10" t="s">
        <v>670</v>
      </c>
    </row>
    <row r="453" spans="5:5">
      <c r="E453" s="10" t="s">
        <v>671</v>
      </c>
    </row>
    <row r="454" spans="5:5">
      <c r="E454" s="10" t="s">
        <v>672</v>
      </c>
    </row>
    <row r="455" spans="5:5">
      <c r="E455" s="10" t="s">
        <v>673</v>
      </c>
    </row>
    <row r="456" spans="5:5">
      <c r="E456" s="10" t="s">
        <v>674</v>
      </c>
    </row>
    <row r="457" spans="5:5">
      <c r="E457" s="10" t="s">
        <v>675</v>
      </c>
    </row>
    <row r="458" spans="5:5">
      <c r="E458" s="10" t="s">
        <v>676</v>
      </c>
    </row>
    <row r="459" spans="5:5">
      <c r="E459" s="10" t="s">
        <v>677</v>
      </c>
    </row>
    <row r="460" spans="5:5">
      <c r="E460" s="10" t="s">
        <v>678</v>
      </c>
    </row>
    <row r="461" spans="5:5">
      <c r="E461" s="10" t="s">
        <v>679</v>
      </c>
    </row>
    <row r="462" spans="5:5">
      <c r="E462" s="10" t="s">
        <v>680</v>
      </c>
    </row>
    <row r="463" spans="5:5">
      <c r="E463" s="10" t="s">
        <v>681</v>
      </c>
    </row>
    <row r="464" spans="5:5">
      <c r="E464" s="10" t="s">
        <v>682</v>
      </c>
    </row>
    <row r="465" spans="5:5">
      <c r="E465" s="10" t="s">
        <v>683</v>
      </c>
    </row>
    <row r="466" spans="5:5">
      <c r="E466" s="10" t="s">
        <v>684</v>
      </c>
    </row>
    <row r="467" spans="5:5">
      <c r="E467" s="10" t="s">
        <v>685</v>
      </c>
    </row>
    <row r="468" spans="5:5">
      <c r="E468" s="10" t="s">
        <v>686</v>
      </c>
    </row>
    <row r="469" spans="5:5">
      <c r="E469" s="10" t="s">
        <v>687</v>
      </c>
    </row>
    <row r="470" spans="5:5">
      <c r="E470" s="10" t="s">
        <v>688</v>
      </c>
    </row>
    <row r="471" spans="5:5">
      <c r="E471" s="10" t="s">
        <v>689</v>
      </c>
    </row>
    <row r="472" spans="5:5">
      <c r="E472" s="10" t="s">
        <v>690</v>
      </c>
    </row>
    <row r="473" spans="5:5">
      <c r="E473" s="10" t="s">
        <v>691</v>
      </c>
    </row>
    <row r="474" spans="5:5">
      <c r="E474" s="10" t="s">
        <v>692</v>
      </c>
    </row>
    <row r="475" spans="5:5">
      <c r="E475" s="10" t="s">
        <v>693</v>
      </c>
    </row>
    <row r="476" spans="5:5">
      <c r="E476" s="10" t="s">
        <v>694</v>
      </c>
    </row>
    <row r="477" spans="5:5">
      <c r="E477" s="10" t="s">
        <v>695</v>
      </c>
    </row>
    <row r="478" spans="5:5">
      <c r="E478" s="10" t="s">
        <v>696</v>
      </c>
    </row>
    <row r="479" spans="5:5">
      <c r="E479" s="10" t="s">
        <v>697</v>
      </c>
    </row>
    <row r="480" spans="5:5">
      <c r="E480" s="10" t="s">
        <v>698</v>
      </c>
    </row>
    <row r="481" spans="5:5">
      <c r="E481" s="10" t="s">
        <v>699</v>
      </c>
    </row>
    <row r="482" spans="5:5">
      <c r="E482" s="10" t="s">
        <v>700</v>
      </c>
    </row>
    <row r="483" spans="5:5">
      <c r="E483" s="10" t="s">
        <v>701</v>
      </c>
    </row>
    <row r="484" spans="5:5">
      <c r="E484" s="10" t="s">
        <v>702</v>
      </c>
    </row>
    <row r="485" spans="5:5">
      <c r="E485" s="10" t="s">
        <v>703</v>
      </c>
    </row>
    <row r="486" spans="5:5">
      <c r="E486" s="10" t="s">
        <v>704</v>
      </c>
    </row>
    <row r="487" spans="5:5">
      <c r="E487" s="10" t="s">
        <v>705</v>
      </c>
    </row>
    <row r="488" spans="5:5">
      <c r="E488" s="10" t="s">
        <v>706</v>
      </c>
    </row>
    <row r="489" spans="5:5">
      <c r="E489" s="10" t="s">
        <v>707</v>
      </c>
    </row>
    <row r="490" spans="5:5">
      <c r="E490" s="10" t="s">
        <v>708</v>
      </c>
    </row>
    <row r="491" spans="5:5">
      <c r="E491" s="10" t="s">
        <v>709</v>
      </c>
    </row>
    <row r="492" spans="5:5">
      <c r="E492" s="10" t="s">
        <v>710</v>
      </c>
    </row>
    <row r="493" spans="5:5">
      <c r="E493" s="10" t="s">
        <v>711</v>
      </c>
    </row>
    <row r="494" spans="5:5">
      <c r="E494" s="10" t="s">
        <v>712</v>
      </c>
    </row>
    <row r="495" spans="5:5">
      <c r="E495" s="10" t="s">
        <v>713</v>
      </c>
    </row>
    <row r="496" spans="5:5">
      <c r="E496" s="10" t="s">
        <v>714</v>
      </c>
    </row>
    <row r="497" spans="5:5">
      <c r="E497" s="10" t="s">
        <v>715</v>
      </c>
    </row>
    <row r="498" spans="5:5">
      <c r="E498" s="10" t="s">
        <v>716</v>
      </c>
    </row>
    <row r="499" spans="5:5">
      <c r="E499" s="10" t="s">
        <v>717</v>
      </c>
    </row>
    <row r="500" spans="5:5">
      <c r="E500" s="10" t="s">
        <v>718</v>
      </c>
    </row>
    <row r="501" spans="5:5">
      <c r="E501" s="10" t="s">
        <v>719</v>
      </c>
    </row>
    <row r="502" spans="5:5">
      <c r="E502" s="10" t="s">
        <v>720</v>
      </c>
    </row>
    <row r="503" spans="5:5">
      <c r="E503" s="10" t="s">
        <v>721</v>
      </c>
    </row>
    <row r="504" spans="5:5">
      <c r="E504" s="10" t="s">
        <v>722</v>
      </c>
    </row>
    <row r="505" spans="5:5">
      <c r="E505" s="10" t="s">
        <v>723</v>
      </c>
    </row>
    <row r="506" spans="5:5">
      <c r="E506" s="10" t="s">
        <v>724</v>
      </c>
    </row>
    <row r="507" spans="5:5">
      <c r="E507" s="10" t="s">
        <v>725</v>
      </c>
    </row>
    <row r="508" spans="5:5">
      <c r="E508" s="10" t="s">
        <v>726</v>
      </c>
    </row>
    <row r="509" ht="24" spans="5:5">
      <c r="E509" s="10" t="s">
        <v>727</v>
      </c>
    </row>
    <row r="510" spans="5:5">
      <c r="E510" s="10" t="s">
        <v>728</v>
      </c>
    </row>
    <row r="511" spans="5:5">
      <c r="E511" s="10" t="s">
        <v>729</v>
      </c>
    </row>
    <row r="512" spans="5:5">
      <c r="E512" s="10" t="s">
        <v>730</v>
      </c>
    </row>
    <row r="513" spans="5:5">
      <c r="E513" s="10" t="s">
        <v>731</v>
      </c>
    </row>
    <row r="514" spans="5:5">
      <c r="E514" s="10" t="s">
        <v>732</v>
      </c>
    </row>
    <row r="515" spans="5:5">
      <c r="E515" s="10" t="s">
        <v>733</v>
      </c>
    </row>
    <row r="516" spans="5:5">
      <c r="E516" s="10" t="s">
        <v>734</v>
      </c>
    </row>
    <row r="517" spans="5:5">
      <c r="E517" s="10" t="s">
        <v>735</v>
      </c>
    </row>
    <row r="518" spans="5:5">
      <c r="E518" s="10" t="s">
        <v>736</v>
      </c>
    </row>
    <row r="519" spans="5:5">
      <c r="E519" s="10" t="s">
        <v>737</v>
      </c>
    </row>
    <row r="520" spans="5:5">
      <c r="E520" s="10" t="s">
        <v>738</v>
      </c>
    </row>
    <row r="521" spans="5:5">
      <c r="E521" s="10" t="s">
        <v>739</v>
      </c>
    </row>
    <row r="522" spans="5:5">
      <c r="E522" s="10" t="s">
        <v>740</v>
      </c>
    </row>
    <row r="523" spans="5:5">
      <c r="E523" s="10" t="s">
        <v>741</v>
      </c>
    </row>
    <row r="524" spans="5:5">
      <c r="E524" s="10" t="s">
        <v>742</v>
      </c>
    </row>
    <row r="525" spans="5:5">
      <c r="E525" s="10" t="s">
        <v>743</v>
      </c>
    </row>
    <row r="526" spans="5:5">
      <c r="E526" s="10" t="s">
        <v>744</v>
      </c>
    </row>
    <row r="527" spans="5:5">
      <c r="E527" s="10" t="s">
        <v>745</v>
      </c>
    </row>
    <row r="528" spans="5:5">
      <c r="E528" s="10" t="s">
        <v>746</v>
      </c>
    </row>
    <row r="529" spans="5:5">
      <c r="E529" s="10" t="s">
        <v>747</v>
      </c>
    </row>
    <row r="530" spans="5:5">
      <c r="E530" s="10" t="s">
        <v>748</v>
      </c>
    </row>
    <row r="531" spans="5:5">
      <c r="E531" s="10" t="s">
        <v>749</v>
      </c>
    </row>
    <row r="532" spans="5:5">
      <c r="E532" s="10" t="s">
        <v>750</v>
      </c>
    </row>
    <row r="533" spans="5:5">
      <c r="E533" s="10" t="s">
        <v>751</v>
      </c>
    </row>
    <row r="534" spans="5:5">
      <c r="E534" s="10" t="s">
        <v>752</v>
      </c>
    </row>
    <row r="535" spans="5:5">
      <c r="E535" s="10" t="s">
        <v>753</v>
      </c>
    </row>
    <row r="536" spans="5:5">
      <c r="E536" s="10" t="s">
        <v>754</v>
      </c>
    </row>
    <row r="537" spans="5:5">
      <c r="E537" s="10" t="s">
        <v>755</v>
      </c>
    </row>
    <row r="538" spans="5:5">
      <c r="E538" s="10" t="s">
        <v>756</v>
      </c>
    </row>
    <row r="539" spans="5:5">
      <c r="E539" s="10" t="s">
        <v>757</v>
      </c>
    </row>
    <row r="540" spans="5:5">
      <c r="E540" s="10" t="s">
        <v>758</v>
      </c>
    </row>
    <row r="541" spans="5:5">
      <c r="E541" s="10" t="s">
        <v>759</v>
      </c>
    </row>
    <row r="542" spans="5:5">
      <c r="E542" s="10" t="s">
        <v>760</v>
      </c>
    </row>
    <row r="543" spans="5:5">
      <c r="E543" s="10" t="s">
        <v>761</v>
      </c>
    </row>
    <row r="544" spans="5:5">
      <c r="E544" s="10" t="s">
        <v>762</v>
      </c>
    </row>
    <row r="545" spans="5:5">
      <c r="E545" s="10" t="s">
        <v>763</v>
      </c>
    </row>
    <row r="546" spans="5:5">
      <c r="E546" s="10" t="s">
        <v>764</v>
      </c>
    </row>
    <row r="547" spans="5:5">
      <c r="E547" s="10" t="s">
        <v>765</v>
      </c>
    </row>
    <row r="548" spans="5:5">
      <c r="E548" s="10" t="s">
        <v>766</v>
      </c>
    </row>
    <row r="549" spans="5:5">
      <c r="E549" s="10" t="s">
        <v>767</v>
      </c>
    </row>
    <row r="550" spans="5:5">
      <c r="E550" s="10" t="s">
        <v>768</v>
      </c>
    </row>
    <row r="551" spans="5:5">
      <c r="E551" s="10" t="s">
        <v>769</v>
      </c>
    </row>
    <row r="552" spans="5:5">
      <c r="E552" s="10" t="s">
        <v>770</v>
      </c>
    </row>
    <row r="553" spans="5:5">
      <c r="E553" s="10" t="s">
        <v>771</v>
      </c>
    </row>
    <row r="554" spans="5:5">
      <c r="E554" s="10" t="s">
        <v>772</v>
      </c>
    </row>
    <row r="555" spans="5:5">
      <c r="E555" s="10" t="s">
        <v>773</v>
      </c>
    </row>
    <row r="556" spans="5:5">
      <c r="E556" s="10" t="s">
        <v>774</v>
      </c>
    </row>
    <row r="557" spans="5:5">
      <c r="E557" s="10" t="s">
        <v>775</v>
      </c>
    </row>
    <row r="558" spans="5:5">
      <c r="E558" s="10" t="s">
        <v>776</v>
      </c>
    </row>
    <row r="559" spans="5:5">
      <c r="E559" s="10" t="s">
        <v>777</v>
      </c>
    </row>
    <row r="560" spans="5:5">
      <c r="E560" s="10" t="s">
        <v>778</v>
      </c>
    </row>
    <row r="561" spans="5:5">
      <c r="E561" s="10" t="s">
        <v>779</v>
      </c>
    </row>
    <row r="562" spans="5:5">
      <c r="E562" s="10" t="s">
        <v>780</v>
      </c>
    </row>
    <row r="563" spans="5:5">
      <c r="E563" s="10" t="s">
        <v>781</v>
      </c>
    </row>
    <row r="564" spans="5:5">
      <c r="E564" s="10" t="s">
        <v>782</v>
      </c>
    </row>
    <row r="565" spans="5:5">
      <c r="E565" s="10" t="s">
        <v>783</v>
      </c>
    </row>
    <row r="566" spans="5:5">
      <c r="E566" s="10" t="s">
        <v>784</v>
      </c>
    </row>
    <row r="567" spans="5:5">
      <c r="E567" s="10" t="s">
        <v>785</v>
      </c>
    </row>
    <row r="568" spans="5:5">
      <c r="E568" s="10" t="s">
        <v>786</v>
      </c>
    </row>
    <row r="569" spans="5:5">
      <c r="E569" s="10" t="s">
        <v>787</v>
      </c>
    </row>
    <row r="570" spans="5:5">
      <c r="E570" s="10" t="s">
        <v>788</v>
      </c>
    </row>
    <row r="571" spans="5:5">
      <c r="E571" s="10" t="s">
        <v>789</v>
      </c>
    </row>
    <row r="572" spans="5:5">
      <c r="E572" s="10" t="s">
        <v>790</v>
      </c>
    </row>
    <row r="573" spans="5:5">
      <c r="E573" s="10" t="s">
        <v>791</v>
      </c>
    </row>
    <row r="574" spans="5:5">
      <c r="E574" s="10" t="s">
        <v>792</v>
      </c>
    </row>
    <row r="575" spans="5:5">
      <c r="E575" s="10" t="s">
        <v>793</v>
      </c>
    </row>
    <row r="576" spans="5:5">
      <c r="E576" s="10" t="s">
        <v>794</v>
      </c>
    </row>
    <row r="577" spans="5:5">
      <c r="E577" s="10" t="s">
        <v>795</v>
      </c>
    </row>
    <row r="578" spans="5:5">
      <c r="E578" s="10" t="s">
        <v>796</v>
      </c>
    </row>
    <row r="579" spans="5:5">
      <c r="E579" s="10" t="s">
        <v>797</v>
      </c>
    </row>
    <row r="580" spans="5:5">
      <c r="E580" s="10" t="s">
        <v>798</v>
      </c>
    </row>
    <row r="581" spans="5:5">
      <c r="E581" s="10" t="s">
        <v>799</v>
      </c>
    </row>
    <row r="582" spans="5:5">
      <c r="E582" s="10" t="s">
        <v>800</v>
      </c>
    </row>
    <row r="583" spans="5:5">
      <c r="E583" s="10" t="s">
        <v>801</v>
      </c>
    </row>
    <row r="584" spans="5:5">
      <c r="E584" s="10" t="s">
        <v>802</v>
      </c>
    </row>
    <row r="585" spans="5:5">
      <c r="E585" s="10" t="s">
        <v>803</v>
      </c>
    </row>
    <row r="586" spans="5:5">
      <c r="E586" s="10" t="s">
        <v>804</v>
      </c>
    </row>
    <row r="587" spans="5:5">
      <c r="E587" s="10" t="s">
        <v>805</v>
      </c>
    </row>
    <row r="588" spans="5:5">
      <c r="E588" s="10" t="s">
        <v>806</v>
      </c>
    </row>
    <row r="589" spans="5:5">
      <c r="E589" s="10" t="s">
        <v>807</v>
      </c>
    </row>
    <row r="590" spans="5:5">
      <c r="E590" s="10" t="s">
        <v>808</v>
      </c>
    </row>
    <row r="591" spans="5:5">
      <c r="E591" s="10" t="s">
        <v>809</v>
      </c>
    </row>
    <row r="592" spans="5:5">
      <c r="E592" s="10" t="s">
        <v>810</v>
      </c>
    </row>
    <row r="593" spans="5:5">
      <c r="E593" s="10" t="s">
        <v>811</v>
      </c>
    </row>
    <row r="594" spans="5:5">
      <c r="E594" s="10" t="s">
        <v>812</v>
      </c>
    </row>
    <row r="595" spans="5:5">
      <c r="E595" s="10" t="s">
        <v>813</v>
      </c>
    </row>
    <row r="596" spans="5:5">
      <c r="E596" s="10" t="s">
        <v>814</v>
      </c>
    </row>
    <row r="597" spans="5:5">
      <c r="E597" s="10" t="s">
        <v>815</v>
      </c>
    </row>
    <row r="598" spans="5:5">
      <c r="E598" s="10" t="s">
        <v>816</v>
      </c>
    </row>
    <row r="599" spans="5:5">
      <c r="E599" s="10" t="s">
        <v>817</v>
      </c>
    </row>
    <row r="600" spans="5:5">
      <c r="E600" s="10" t="s">
        <v>818</v>
      </c>
    </row>
    <row r="601" spans="5:5">
      <c r="E601" s="10" t="s">
        <v>819</v>
      </c>
    </row>
    <row r="602" spans="5:5">
      <c r="E602" s="10" t="s">
        <v>820</v>
      </c>
    </row>
    <row r="603" spans="5:5">
      <c r="E603" s="10" t="s">
        <v>821</v>
      </c>
    </row>
    <row r="604" spans="5:5">
      <c r="E604" s="10" t="s">
        <v>822</v>
      </c>
    </row>
    <row r="605" spans="5:5">
      <c r="E605" s="10" t="s">
        <v>823</v>
      </c>
    </row>
    <row r="606" spans="5:5">
      <c r="E606" s="10" t="s">
        <v>824</v>
      </c>
    </row>
    <row r="607" spans="5:5">
      <c r="E607" s="10" t="s">
        <v>825</v>
      </c>
    </row>
    <row r="608" spans="5:5">
      <c r="E608" s="10" t="s">
        <v>826</v>
      </c>
    </row>
    <row r="609" spans="5:5">
      <c r="E609" s="10" t="s">
        <v>827</v>
      </c>
    </row>
    <row r="610" spans="5:5">
      <c r="E610" s="10" t="s">
        <v>828</v>
      </c>
    </row>
    <row r="611" spans="5:5">
      <c r="E611" s="10" t="s">
        <v>829</v>
      </c>
    </row>
    <row r="612" spans="5:5">
      <c r="E612" s="10" t="s">
        <v>830</v>
      </c>
    </row>
    <row r="613" spans="5:5">
      <c r="E613" s="10" t="s">
        <v>831</v>
      </c>
    </row>
    <row r="614" spans="5:5">
      <c r="E614" s="10" t="s">
        <v>832</v>
      </c>
    </row>
    <row r="615" spans="5:5">
      <c r="E615" s="10" t="s">
        <v>833</v>
      </c>
    </row>
    <row r="616" spans="5:5">
      <c r="E616" s="10" t="s">
        <v>834</v>
      </c>
    </row>
    <row r="617" spans="5:5">
      <c r="E617" s="10" t="s">
        <v>835</v>
      </c>
    </row>
    <row r="618" spans="5:5">
      <c r="E618" s="10" t="s">
        <v>836</v>
      </c>
    </row>
    <row r="619" spans="5:5">
      <c r="E619" s="10" t="s">
        <v>837</v>
      </c>
    </row>
    <row r="620" spans="5:5">
      <c r="E620" s="10" t="s">
        <v>838</v>
      </c>
    </row>
    <row r="621" spans="5:5">
      <c r="E621" s="10" t="s">
        <v>839</v>
      </c>
    </row>
    <row r="622" spans="5:5">
      <c r="E622" s="10" t="s">
        <v>840</v>
      </c>
    </row>
    <row r="623" spans="5:5">
      <c r="E623" s="10" t="s">
        <v>841</v>
      </c>
    </row>
    <row r="624" spans="5:5">
      <c r="E624" s="10" t="s">
        <v>842</v>
      </c>
    </row>
    <row r="625" spans="5:5">
      <c r="E625" s="10" t="s">
        <v>843</v>
      </c>
    </row>
    <row r="626" spans="5:5">
      <c r="E626" s="10" t="s">
        <v>844</v>
      </c>
    </row>
    <row r="627" spans="5:5">
      <c r="E627" s="10" t="s">
        <v>845</v>
      </c>
    </row>
    <row r="628" spans="5:5">
      <c r="E628" s="10" t="s">
        <v>846</v>
      </c>
    </row>
    <row r="629" spans="5:5">
      <c r="E629" s="10" t="s">
        <v>847</v>
      </c>
    </row>
    <row r="630" spans="5:5">
      <c r="E630" s="10" t="s">
        <v>848</v>
      </c>
    </row>
    <row r="631" spans="5:5">
      <c r="E631" s="10" t="s">
        <v>849</v>
      </c>
    </row>
    <row r="632" spans="5:5">
      <c r="E632" s="10" t="s">
        <v>850</v>
      </c>
    </row>
    <row r="633" spans="5:5">
      <c r="E633" s="10" t="s">
        <v>851</v>
      </c>
    </row>
    <row r="634" spans="5:5">
      <c r="E634" s="10" t="s">
        <v>852</v>
      </c>
    </row>
    <row r="635" spans="5:5">
      <c r="E635" s="10" t="s">
        <v>853</v>
      </c>
    </row>
    <row r="636" spans="5:5">
      <c r="E636" s="10" t="s">
        <v>854</v>
      </c>
    </row>
    <row r="637" spans="5:5">
      <c r="E637" s="10" t="s">
        <v>855</v>
      </c>
    </row>
    <row r="638" spans="5:5">
      <c r="E638" s="10" t="s">
        <v>856</v>
      </c>
    </row>
    <row r="639" spans="5:5">
      <c r="E639" s="10" t="s">
        <v>857</v>
      </c>
    </row>
    <row r="640" spans="5:5">
      <c r="E640" s="10" t="s">
        <v>858</v>
      </c>
    </row>
    <row r="641" spans="5:5">
      <c r="E641" s="10" t="s">
        <v>859</v>
      </c>
    </row>
    <row r="642" spans="5:5">
      <c r="E642" s="10" t="s">
        <v>860</v>
      </c>
    </row>
    <row r="643" spans="5:5">
      <c r="E643" s="10" t="s">
        <v>861</v>
      </c>
    </row>
    <row r="644" spans="5:5">
      <c r="E644" s="10" t="s">
        <v>862</v>
      </c>
    </row>
    <row r="645" spans="5:5">
      <c r="E645" s="10" t="s">
        <v>863</v>
      </c>
    </row>
    <row r="646" spans="5:5">
      <c r="E646" s="10" t="s">
        <v>864</v>
      </c>
    </row>
    <row r="647" spans="5:5">
      <c r="E647" s="10" t="s">
        <v>865</v>
      </c>
    </row>
    <row r="648" spans="5:5">
      <c r="E648" s="10" t="s">
        <v>866</v>
      </c>
    </row>
    <row r="649" spans="5:5">
      <c r="E649" s="10" t="s">
        <v>867</v>
      </c>
    </row>
    <row r="650" spans="5:5">
      <c r="E650" s="10" t="s">
        <v>868</v>
      </c>
    </row>
    <row r="651" spans="5:5">
      <c r="E651" s="10" t="s">
        <v>869</v>
      </c>
    </row>
    <row r="652" spans="5:5">
      <c r="E652" s="10" t="s">
        <v>870</v>
      </c>
    </row>
    <row r="653" spans="5:5">
      <c r="E653" s="10" t="s">
        <v>871</v>
      </c>
    </row>
    <row r="654" spans="5:5">
      <c r="E654" s="10" t="s">
        <v>872</v>
      </c>
    </row>
    <row r="655" spans="5:5">
      <c r="E655" s="10" t="s">
        <v>873</v>
      </c>
    </row>
    <row r="656" spans="5:5">
      <c r="E656" s="10" t="s">
        <v>874</v>
      </c>
    </row>
    <row r="657" spans="5:5">
      <c r="E657" s="10" t="s">
        <v>875</v>
      </c>
    </row>
    <row r="658" spans="5:5">
      <c r="E658" s="10" t="s">
        <v>876</v>
      </c>
    </row>
    <row r="659" spans="5:5">
      <c r="E659" s="10" t="s">
        <v>877</v>
      </c>
    </row>
    <row r="660" spans="5:5">
      <c r="E660" s="10" t="s">
        <v>878</v>
      </c>
    </row>
    <row r="661" spans="5:5">
      <c r="E661" s="10" t="s">
        <v>879</v>
      </c>
    </row>
    <row r="662" spans="5:5">
      <c r="E662" s="10" t="s">
        <v>880</v>
      </c>
    </row>
    <row r="663" spans="5:5">
      <c r="E663" s="10" t="s">
        <v>881</v>
      </c>
    </row>
    <row r="664" spans="5:5">
      <c r="E664" s="10" t="s">
        <v>882</v>
      </c>
    </row>
    <row r="665" spans="5:5">
      <c r="E665" s="10" t="s">
        <v>883</v>
      </c>
    </row>
    <row r="666" spans="5:5">
      <c r="E666" s="10" t="s">
        <v>884</v>
      </c>
    </row>
    <row r="667" spans="5:5">
      <c r="E667" s="10" t="s">
        <v>885</v>
      </c>
    </row>
    <row r="668" spans="5:5">
      <c r="E668" s="10" t="s">
        <v>886</v>
      </c>
    </row>
    <row r="669" spans="5:5">
      <c r="E669" s="10" t="s">
        <v>887</v>
      </c>
    </row>
    <row r="670" spans="5:5">
      <c r="E670" s="10" t="s">
        <v>888</v>
      </c>
    </row>
    <row r="671" spans="5:5">
      <c r="E671" s="10" t="s">
        <v>889</v>
      </c>
    </row>
    <row r="672" spans="5:5">
      <c r="E672" s="10" t="s">
        <v>890</v>
      </c>
    </row>
    <row r="673" spans="5:5">
      <c r="E673" s="10" t="s">
        <v>891</v>
      </c>
    </row>
    <row r="674" spans="5:5">
      <c r="E674" s="10" t="s">
        <v>892</v>
      </c>
    </row>
    <row r="675" spans="5:5">
      <c r="E675" s="10" t="s">
        <v>893</v>
      </c>
    </row>
    <row r="676" spans="5:5">
      <c r="E676" s="10" t="s">
        <v>894</v>
      </c>
    </row>
    <row r="677" spans="5:5">
      <c r="E677" s="10" t="s">
        <v>895</v>
      </c>
    </row>
    <row r="678" spans="5:5">
      <c r="E678" s="10" t="s">
        <v>896</v>
      </c>
    </row>
    <row r="679" spans="5:5">
      <c r="E679" s="10" t="s">
        <v>897</v>
      </c>
    </row>
    <row r="680" spans="5:5">
      <c r="E680" s="10" t="s">
        <v>898</v>
      </c>
    </row>
    <row r="681" spans="5:5">
      <c r="E681" s="10" t="s">
        <v>899</v>
      </c>
    </row>
    <row r="682" spans="5:5">
      <c r="E682" s="10" t="s">
        <v>900</v>
      </c>
    </row>
    <row r="683" spans="5:5">
      <c r="E683" s="10" t="s">
        <v>901</v>
      </c>
    </row>
    <row r="684" spans="5:5">
      <c r="E684" s="10" t="s">
        <v>902</v>
      </c>
    </row>
    <row r="685" ht="24" spans="5:5">
      <c r="E685" s="10" t="s">
        <v>903</v>
      </c>
    </row>
    <row r="686" spans="5:5">
      <c r="E686" s="10" t="s">
        <v>904</v>
      </c>
    </row>
    <row r="687" spans="5:5">
      <c r="E687" s="10" t="s">
        <v>905</v>
      </c>
    </row>
    <row r="688" spans="5:5">
      <c r="E688" s="10" t="s">
        <v>906</v>
      </c>
    </row>
    <row r="689" spans="5:5">
      <c r="E689" s="10" t="s">
        <v>907</v>
      </c>
    </row>
    <row r="690" spans="5:5">
      <c r="E690" s="10" t="s">
        <v>908</v>
      </c>
    </row>
    <row r="691" spans="5:5">
      <c r="E691" s="10" t="s">
        <v>909</v>
      </c>
    </row>
    <row r="692" spans="5:5">
      <c r="E692" s="10" t="s">
        <v>910</v>
      </c>
    </row>
    <row r="693" spans="5:5">
      <c r="E693" s="10" t="s">
        <v>911</v>
      </c>
    </row>
    <row r="694" spans="5:5">
      <c r="E694" s="10" t="s">
        <v>912</v>
      </c>
    </row>
    <row r="695" spans="5:5">
      <c r="E695" s="10" t="s">
        <v>913</v>
      </c>
    </row>
    <row r="696" spans="5:5">
      <c r="E696" s="10" t="s">
        <v>914</v>
      </c>
    </row>
    <row r="697" spans="5:5">
      <c r="E697" s="10" t="s">
        <v>915</v>
      </c>
    </row>
    <row r="698" spans="5:5">
      <c r="E698" s="10" t="s">
        <v>916</v>
      </c>
    </row>
    <row r="699" spans="5:5">
      <c r="E699" s="10" t="s">
        <v>917</v>
      </c>
    </row>
    <row r="700" spans="5:5">
      <c r="E700" s="10" t="s">
        <v>918</v>
      </c>
    </row>
    <row r="701" spans="5:5">
      <c r="E701" s="10" t="s">
        <v>919</v>
      </c>
    </row>
    <row r="702" spans="5:5">
      <c r="E702" s="10" t="s">
        <v>920</v>
      </c>
    </row>
    <row r="703" spans="5:5">
      <c r="E703" s="10" t="s">
        <v>921</v>
      </c>
    </row>
    <row r="704" spans="5:5">
      <c r="E704" s="10" t="s">
        <v>922</v>
      </c>
    </row>
    <row r="705" spans="5:5">
      <c r="E705" s="10" t="s">
        <v>923</v>
      </c>
    </row>
    <row r="706" spans="5:5">
      <c r="E706" s="10" t="s">
        <v>924</v>
      </c>
    </row>
    <row r="707" spans="5:5">
      <c r="E707" s="10" t="s">
        <v>925</v>
      </c>
    </row>
    <row r="708" spans="5:5">
      <c r="E708" s="10" t="s">
        <v>926</v>
      </c>
    </row>
    <row r="709" spans="5:5">
      <c r="E709" s="10" t="s">
        <v>927</v>
      </c>
    </row>
    <row r="710" spans="5:5">
      <c r="E710" s="10" t="s">
        <v>928</v>
      </c>
    </row>
    <row r="711" spans="5:5">
      <c r="E711" s="10" t="s">
        <v>929</v>
      </c>
    </row>
    <row r="712" spans="5:5">
      <c r="E712" s="10" t="s">
        <v>930</v>
      </c>
    </row>
    <row r="713" spans="5:5">
      <c r="E713" s="10" t="s">
        <v>931</v>
      </c>
    </row>
    <row r="714" spans="5:5">
      <c r="E714" s="10" t="s">
        <v>932</v>
      </c>
    </row>
    <row r="715" spans="5:5">
      <c r="E715" s="10" t="s">
        <v>933</v>
      </c>
    </row>
    <row r="716" spans="5:5">
      <c r="E716" s="10" t="s">
        <v>934</v>
      </c>
    </row>
    <row r="717" spans="5:5">
      <c r="E717" s="10" t="s">
        <v>935</v>
      </c>
    </row>
    <row r="718" spans="5:5">
      <c r="E718" s="10" t="s">
        <v>936</v>
      </c>
    </row>
    <row r="719" spans="5:5">
      <c r="E719" s="10" t="s">
        <v>937</v>
      </c>
    </row>
    <row r="720" spans="5:5">
      <c r="E720" s="10" t="s">
        <v>938</v>
      </c>
    </row>
    <row r="721" spans="5:5">
      <c r="E721" s="10" t="s">
        <v>939</v>
      </c>
    </row>
    <row r="722" spans="5:5">
      <c r="E722" s="10" t="s">
        <v>940</v>
      </c>
    </row>
    <row r="723" spans="5:5">
      <c r="E723" s="10" t="s">
        <v>941</v>
      </c>
    </row>
    <row r="724" spans="5:5">
      <c r="E724" s="10" t="s">
        <v>942</v>
      </c>
    </row>
    <row r="725" spans="5:5">
      <c r="E725" s="10" t="s">
        <v>943</v>
      </c>
    </row>
    <row r="726" spans="5:5">
      <c r="E726" s="10" t="s">
        <v>944</v>
      </c>
    </row>
    <row r="727" spans="5:5">
      <c r="E727" s="10" t="s">
        <v>945</v>
      </c>
    </row>
    <row r="728" spans="5:5">
      <c r="E728" s="10" t="s">
        <v>946</v>
      </c>
    </row>
    <row r="729" spans="5:5">
      <c r="E729" s="10" t="s">
        <v>947</v>
      </c>
    </row>
    <row r="730" spans="5:5">
      <c r="E730" s="10" t="s">
        <v>948</v>
      </c>
    </row>
    <row r="731" spans="5:5">
      <c r="E731" s="10" t="s">
        <v>949</v>
      </c>
    </row>
    <row r="732" spans="5:5">
      <c r="E732" s="10" t="s">
        <v>950</v>
      </c>
    </row>
    <row r="733" spans="5:5">
      <c r="E733" s="10" t="s">
        <v>951</v>
      </c>
    </row>
    <row r="734" spans="5:5">
      <c r="E734" s="10" t="s">
        <v>952</v>
      </c>
    </row>
    <row r="735" spans="5:5">
      <c r="E735" s="10" t="s">
        <v>953</v>
      </c>
    </row>
    <row r="736" spans="5:5">
      <c r="E736" s="10" t="s">
        <v>954</v>
      </c>
    </row>
    <row r="737" spans="5:5">
      <c r="E737" s="10" t="s">
        <v>955</v>
      </c>
    </row>
    <row r="738" spans="5:5">
      <c r="E738" s="10" t="s">
        <v>956</v>
      </c>
    </row>
    <row r="739" spans="5:5">
      <c r="E739" s="10" t="s">
        <v>957</v>
      </c>
    </row>
    <row r="740" spans="5:5">
      <c r="E740" s="10" t="s">
        <v>958</v>
      </c>
    </row>
    <row r="741" spans="5:5">
      <c r="E741" s="10" t="s">
        <v>959</v>
      </c>
    </row>
    <row r="742" spans="5:5">
      <c r="E742" s="10" t="s">
        <v>960</v>
      </c>
    </row>
    <row r="743" spans="5:5">
      <c r="E743" s="10" t="s">
        <v>961</v>
      </c>
    </row>
    <row r="744" spans="5:5">
      <c r="E744" s="10" t="s">
        <v>962</v>
      </c>
    </row>
    <row r="745" spans="5:5">
      <c r="E745" s="10" t="s">
        <v>963</v>
      </c>
    </row>
    <row r="746" spans="5:5">
      <c r="E746" s="10" t="s">
        <v>964</v>
      </c>
    </row>
    <row r="747" spans="5:5">
      <c r="E747" s="10" t="s">
        <v>965</v>
      </c>
    </row>
    <row r="748" spans="5:5">
      <c r="E748" s="10" t="s">
        <v>966</v>
      </c>
    </row>
    <row r="749" spans="5:5">
      <c r="E749" s="10" t="s">
        <v>967</v>
      </c>
    </row>
    <row r="750" spans="5:5">
      <c r="E750" s="10" t="s">
        <v>968</v>
      </c>
    </row>
    <row r="751" spans="5:5">
      <c r="E751" s="10" t="s">
        <v>969</v>
      </c>
    </row>
    <row r="752" spans="5:5">
      <c r="E752" s="10" t="s">
        <v>970</v>
      </c>
    </row>
    <row r="753" spans="5:5">
      <c r="E753" s="10" t="s">
        <v>971</v>
      </c>
    </row>
    <row r="754" spans="5:5">
      <c r="E754" s="10" t="s">
        <v>972</v>
      </c>
    </row>
    <row r="755" spans="5:5">
      <c r="E755" s="10" t="s">
        <v>973</v>
      </c>
    </row>
    <row r="756" spans="5:5">
      <c r="E756" s="10" t="s">
        <v>974</v>
      </c>
    </row>
    <row r="757" spans="5:5">
      <c r="E757" s="10" t="s">
        <v>975</v>
      </c>
    </row>
    <row r="758" spans="5:5">
      <c r="E758" s="10" t="s">
        <v>976</v>
      </c>
    </row>
    <row r="759" spans="5:5">
      <c r="E759" s="10" t="s">
        <v>977</v>
      </c>
    </row>
    <row r="760" spans="5:5">
      <c r="E760" s="10" t="s">
        <v>978</v>
      </c>
    </row>
    <row r="761" spans="5:5">
      <c r="E761" s="10" t="s">
        <v>979</v>
      </c>
    </row>
    <row r="762" spans="5:5">
      <c r="E762" s="10" t="s">
        <v>980</v>
      </c>
    </row>
    <row r="763" spans="5:5">
      <c r="E763" s="10" t="s">
        <v>981</v>
      </c>
    </row>
    <row r="764" spans="5:5">
      <c r="E764" s="10" t="s">
        <v>982</v>
      </c>
    </row>
    <row r="765" spans="5:5">
      <c r="E765" s="10" t="s">
        <v>983</v>
      </c>
    </row>
    <row r="766" spans="5:5">
      <c r="E766" s="10" t="s">
        <v>984</v>
      </c>
    </row>
    <row r="767" spans="5:5">
      <c r="E767" s="10" t="s">
        <v>985</v>
      </c>
    </row>
    <row r="768" spans="5:5">
      <c r="E768" s="10" t="s">
        <v>986</v>
      </c>
    </row>
    <row r="769" spans="5:5">
      <c r="E769" s="10" t="s">
        <v>987</v>
      </c>
    </row>
    <row r="770" spans="5:5">
      <c r="E770" s="10" t="s">
        <v>988</v>
      </c>
    </row>
    <row r="771" spans="5:5">
      <c r="E771" s="10" t="s">
        <v>989</v>
      </c>
    </row>
    <row r="772" spans="5:5">
      <c r="E772" s="10" t="s">
        <v>990</v>
      </c>
    </row>
    <row r="773" spans="5:5">
      <c r="E773" s="10" t="s">
        <v>991</v>
      </c>
    </row>
    <row r="774" spans="5:5">
      <c r="E774" s="10" t="s">
        <v>992</v>
      </c>
    </row>
    <row r="775" spans="5:5">
      <c r="E775" s="10" t="s">
        <v>993</v>
      </c>
    </row>
    <row r="776" spans="5:5">
      <c r="E776" s="10" t="s">
        <v>994</v>
      </c>
    </row>
    <row r="777" spans="5:5">
      <c r="E777" s="10" t="s">
        <v>995</v>
      </c>
    </row>
    <row r="778" spans="5:5">
      <c r="E778" s="10" t="s">
        <v>996</v>
      </c>
    </row>
    <row r="779" spans="5:5">
      <c r="E779" s="10" t="s">
        <v>997</v>
      </c>
    </row>
    <row r="780" spans="5:5">
      <c r="E780" s="10" t="s">
        <v>998</v>
      </c>
    </row>
    <row r="781" spans="5:5">
      <c r="E781" s="10" t="s">
        <v>999</v>
      </c>
    </row>
    <row r="782" spans="5:5">
      <c r="E782" s="10" t="s">
        <v>1000</v>
      </c>
    </row>
    <row r="783" spans="5:5">
      <c r="E783" s="10" t="s">
        <v>1001</v>
      </c>
    </row>
    <row r="784" spans="5:5">
      <c r="E784" s="10" t="s">
        <v>1002</v>
      </c>
    </row>
    <row r="785" spans="5:5">
      <c r="E785" s="10" t="s">
        <v>1003</v>
      </c>
    </row>
    <row r="786" spans="5:5">
      <c r="E786" s="10" t="s">
        <v>1004</v>
      </c>
    </row>
    <row r="787" spans="5:5">
      <c r="E787" s="10" t="s">
        <v>1005</v>
      </c>
    </row>
    <row r="788" spans="5:5">
      <c r="E788" s="10" t="s">
        <v>1006</v>
      </c>
    </row>
    <row r="789" spans="5:5">
      <c r="E789" s="10" t="s">
        <v>1007</v>
      </c>
    </row>
    <row r="790" spans="5:5">
      <c r="E790" s="10" t="s">
        <v>1008</v>
      </c>
    </row>
    <row r="791" spans="5:5">
      <c r="E791" s="10" t="s">
        <v>1009</v>
      </c>
    </row>
    <row r="792" spans="5:5">
      <c r="E792" s="10" t="s">
        <v>1010</v>
      </c>
    </row>
    <row r="793" spans="5:5">
      <c r="E793" s="10" t="s">
        <v>1011</v>
      </c>
    </row>
    <row r="794" spans="5:5">
      <c r="E794" s="10" t="s">
        <v>1012</v>
      </c>
    </row>
    <row r="795" spans="5:5">
      <c r="E795" s="10" t="s">
        <v>1013</v>
      </c>
    </row>
    <row r="796" spans="5:5">
      <c r="E796" s="10" t="s">
        <v>1014</v>
      </c>
    </row>
    <row r="797" spans="5:5">
      <c r="E797" s="10" t="s">
        <v>1015</v>
      </c>
    </row>
    <row r="798" spans="5:5">
      <c r="E798" s="10" t="s">
        <v>1016</v>
      </c>
    </row>
    <row r="799" spans="5:5">
      <c r="E799" s="10" t="s">
        <v>1017</v>
      </c>
    </row>
    <row r="800" spans="5:5">
      <c r="E800" s="10" t="s">
        <v>1018</v>
      </c>
    </row>
    <row r="801" spans="5:5">
      <c r="E801" s="10" t="s">
        <v>1019</v>
      </c>
    </row>
    <row r="802" spans="5:5">
      <c r="E802" s="10" t="s">
        <v>1020</v>
      </c>
    </row>
    <row r="803" spans="5:5">
      <c r="E803" s="10" t="s">
        <v>1021</v>
      </c>
    </row>
    <row r="804" spans="5:5">
      <c r="E804" s="10" t="s">
        <v>1022</v>
      </c>
    </row>
    <row r="805" spans="5:5">
      <c r="E805" s="10" t="s">
        <v>1023</v>
      </c>
    </row>
    <row r="806" spans="5:5">
      <c r="E806" s="10" t="s">
        <v>1024</v>
      </c>
    </row>
    <row r="807" spans="5:5">
      <c r="E807" s="10" t="s">
        <v>1025</v>
      </c>
    </row>
    <row r="808" spans="5:5">
      <c r="E808" s="10" t="s">
        <v>1026</v>
      </c>
    </row>
    <row r="809" spans="5:5">
      <c r="E809" s="10" t="s">
        <v>1027</v>
      </c>
    </row>
    <row r="810" spans="5:5">
      <c r="E810" s="10" t="s">
        <v>1028</v>
      </c>
    </row>
    <row r="811" spans="5:5">
      <c r="E811" s="10" t="s">
        <v>1029</v>
      </c>
    </row>
    <row r="812" spans="5:5">
      <c r="E812" s="10" t="s">
        <v>1030</v>
      </c>
    </row>
    <row r="813" spans="5:5">
      <c r="E813" s="10" t="s">
        <v>1031</v>
      </c>
    </row>
    <row r="814" spans="5:5">
      <c r="E814" s="10" t="s">
        <v>1032</v>
      </c>
    </row>
    <row r="815" spans="5:5">
      <c r="E815" s="10" t="s">
        <v>1033</v>
      </c>
    </row>
    <row r="816" spans="5:5">
      <c r="E816" s="10" t="s">
        <v>1034</v>
      </c>
    </row>
    <row r="817" spans="5:5">
      <c r="E817" s="10" t="s">
        <v>1035</v>
      </c>
    </row>
    <row r="818" spans="5:5">
      <c r="E818" s="10" t="s">
        <v>1036</v>
      </c>
    </row>
    <row r="819" spans="5:5">
      <c r="E819" s="10" t="s">
        <v>1037</v>
      </c>
    </row>
    <row r="820" spans="5:5">
      <c r="E820" s="10" t="s">
        <v>1038</v>
      </c>
    </row>
    <row r="821" spans="5:5">
      <c r="E821" s="10" t="s">
        <v>1039</v>
      </c>
    </row>
    <row r="822" spans="5:5">
      <c r="E822" s="10" t="s">
        <v>1040</v>
      </c>
    </row>
    <row r="823" spans="5:5">
      <c r="E823" s="10" t="s">
        <v>1041</v>
      </c>
    </row>
    <row r="824" spans="5:5">
      <c r="E824" s="10" t="s">
        <v>1042</v>
      </c>
    </row>
    <row r="825" spans="5:5">
      <c r="E825" s="10" t="s">
        <v>1043</v>
      </c>
    </row>
    <row r="826" spans="5:5">
      <c r="E826" s="10" t="s">
        <v>1044</v>
      </c>
    </row>
    <row r="827" spans="5:5">
      <c r="E827" s="10" t="s">
        <v>1045</v>
      </c>
    </row>
    <row r="828" spans="5:5">
      <c r="E828" s="10" t="s">
        <v>1046</v>
      </c>
    </row>
    <row r="829" spans="5:5">
      <c r="E829" s="10" t="s">
        <v>1047</v>
      </c>
    </row>
    <row r="830" spans="5:5">
      <c r="E830" s="10" t="s">
        <v>1048</v>
      </c>
    </row>
    <row r="831" spans="5:5">
      <c r="E831" s="10" t="s">
        <v>1049</v>
      </c>
    </row>
    <row r="832" spans="5:5">
      <c r="E832" s="10" t="s">
        <v>1050</v>
      </c>
    </row>
    <row r="833" spans="5:5">
      <c r="E833" s="10" t="s">
        <v>1051</v>
      </c>
    </row>
    <row r="834" spans="5:5">
      <c r="E834" s="10" t="s">
        <v>1052</v>
      </c>
    </row>
    <row r="835" spans="5:5">
      <c r="E835" s="10" t="s">
        <v>1053</v>
      </c>
    </row>
    <row r="836" spans="5:5">
      <c r="E836" s="10" t="s">
        <v>1054</v>
      </c>
    </row>
    <row r="837" spans="5:5">
      <c r="E837" s="10" t="s">
        <v>1055</v>
      </c>
    </row>
    <row r="838" spans="5:5">
      <c r="E838" s="10" t="s">
        <v>1056</v>
      </c>
    </row>
    <row r="839" spans="5:5">
      <c r="E839" s="10" t="s">
        <v>1057</v>
      </c>
    </row>
    <row r="840" spans="5:5">
      <c r="E840" s="10" t="s">
        <v>1058</v>
      </c>
    </row>
    <row r="841" spans="5:5">
      <c r="E841" s="10" t="s">
        <v>1059</v>
      </c>
    </row>
    <row r="842" spans="5:5">
      <c r="E842" s="10" t="s">
        <v>1060</v>
      </c>
    </row>
    <row r="843" spans="5:5">
      <c r="E843" s="10" t="s">
        <v>1061</v>
      </c>
    </row>
    <row r="844" spans="5:5">
      <c r="E844" s="10" t="s">
        <v>1062</v>
      </c>
    </row>
    <row r="845" spans="5:5">
      <c r="E845" s="10" t="s">
        <v>1063</v>
      </c>
    </row>
    <row r="846" spans="5:5">
      <c r="E846" s="10" t="s">
        <v>1064</v>
      </c>
    </row>
    <row r="847" spans="5:5">
      <c r="E847" s="10" t="s">
        <v>1065</v>
      </c>
    </row>
    <row r="848" spans="5:5">
      <c r="E848" s="10" t="s">
        <v>1066</v>
      </c>
    </row>
    <row r="849" spans="5:5">
      <c r="E849" s="10" t="s">
        <v>1067</v>
      </c>
    </row>
    <row r="850" spans="5:5">
      <c r="E850" s="10" t="s">
        <v>1068</v>
      </c>
    </row>
    <row r="851" spans="5:5">
      <c r="E851" s="10" t="s">
        <v>1069</v>
      </c>
    </row>
    <row r="852" spans="5:5">
      <c r="E852" s="10" t="s">
        <v>1070</v>
      </c>
    </row>
    <row r="853" spans="5:5">
      <c r="E853" s="10" t="s">
        <v>1071</v>
      </c>
    </row>
    <row r="854" spans="5:5">
      <c r="E854" s="10" t="s">
        <v>1072</v>
      </c>
    </row>
    <row r="855" spans="5:5">
      <c r="E855" s="10" t="s">
        <v>1073</v>
      </c>
    </row>
    <row r="856" spans="5:5">
      <c r="E856" s="10" t="s">
        <v>1074</v>
      </c>
    </row>
    <row r="857" spans="5:5">
      <c r="E857" s="10" t="s">
        <v>1075</v>
      </c>
    </row>
    <row r="858" spans="5:5">
      <c r="E858" s="10" t="s">
        <v>1076</v>
      </c>
    </row>
    <row r="859" ht="24" spans="5:5">
      <c r="E859" s="10" t="s">
        <v>1077</v>
      </c>
    </row>
    <row r="860" spans="5:5">
      <c r="E860" s="10" t="s">
        <v>1078</v>
      </c>
    </row>
    <row r="861" ht="24" spans="5:5">
      <c r="E861" s="10" t="s">
        <v>1079</v>
      </c>
    </row>
    <row r="862" ht="24" spans="5:5">
      <c r="E862" s="10" t="s">
        <v>1080</v>
      </c>
    </row>
    <row r="863" ht="24" spans="5:5">
      <c r="E863" s="10" t="s">
        <v>1081</v>
      </c>
    </row>
    <row r="864" ht="24" spans="5:5">
      <c r="E864" s="10" t="s">
        <v>1082</v>
      </c>
    </row>
    <row r="865" ht="24" spans="5:5">
      <c r="E865" s="10" t="s">
        <v>1083</v>
      </c>
    </row>
    <row r="866" spans="5:5">
      <c r="E866" s="10" t="s">
        <v>1084</v>
      </c>
    </row>
    <row r="867" spans="5:5">
      <c r="E867" s="10" t="s">
        <v>1085</v>
      </c>
    </row>
    <row r="868" spans="5:5">
      <c r="E868" s="10" t="s">
        <v>1086</v>
      </c>
    </row>
    <row r="869" spans="5:5">
      <c r="E869" s="10" t="s">
        <v>1087</v>
      </c>
    </row>
    <row r="870" spans="5:5">
      <c r="E870" s="10" t="s">
        <v>1088</v>
      </c>
    </row>
    <row r="871" spans="5:5">
      <c r="E871" s="10" t="s">
        <v>1089</v>
      </c>
    </row>
    <row r="872" spans="5:5">
      <c r="E872" s="10" t="s">
        <v>1090</v>
      </c>
    </row>
    <row r="873" ht="24" spans="5:5">
      <c r="E873" s="10" t="s">
        <v>1091</v>
      </c>
    </row>
    <row r="874" ht="24" spans="5:5">
      <c r="E874" s="10" t="s">
        <v>1092</v>
      </c>
    </row>
    <row r="875" ht="24" spans="5:5">
      <c r="E875" s="10" t="s">
        <v>1093</v>
      </c>
    </row>
    <row r="876" ht="24" spans="5:5">
      <c r="E876" s="10" t="s">
        <v>1094</v>
      </c>
    </row>
    <row r="877" ht="24" spans="5:5">
      <c r="E877" s="10" t="s">
        <v>1095</v>
      </c>
    </row>
    <row r="878" ht="24" spans="5:5">
      <c r="E878" s="10" t="s">
        <v>1096</v>
      </c>
    </row>
    <row r="879" spans="5:5">
      <c r="E879" s="10" t="s">
        <v>1097</v>
      </c>
    </row>
    <row r="880" spans="5:5">
      <c r="E880" s="10" t="s">
        <v>1098</v>
      </c>
    </row>
    <row r="881" spans="5:5">
      <c r="E881" s="10" t="s">
        <v>1099</v>
      </c>
    </row>
    <row r="882" spans="5:5">
      <c r="E882" s="10" t="s">
        <v>1100</v>
      </c>
    </row>
    <row r="883" spans="5:5">
      <c r="E883" s="10" t="s">
        <v>1101</v>
      </c>
    </row>
    <row r="884" spans="5:5">
      <c r="E884" s="10" t="s">
        <v>1102</v>
      </c>
    </row>
    <row r="885" spans="5:5">
      <c r="E885" s="10" t="s">
        <v>1103</v>
      </c>
    </row>
    <row r="886" spans="5:5">
      <c r="E886" s="10" t="s">
        <v>1104</v>
      </c>
    </row>
    <row r="887" spans="5:5">
      <c r="E887" s="10" t="s">
        <v>1105</v>
      </c>
    </row>
    <row r="888" spans="5:5">
      <c r="E888" s="10" t="s">
        <v>1106</v>
      </c>
    </row>
    <row r="889" spans="5:5">
      <c r="E889" s="10" t="s">
        <v>1107</v>
      </c>
    </row>
    <row r="890" ht="24" spans="5:5">
      <c r="E890" s="10" t="s">
        <v>1108</v>
      </c>
    </row>
    <row r="891" spans="5:5">
      <c r="E891" s="10" t="s">
        <v>1109</v>
      </c>
    </row>
    <row r="892" spans="5:5">
      <c r="E892" s="10" t="s">
        <v>1110</v>
      </c>
    </row>
    <row r="893" spans="5:5">
      <c r="E893" s="10" t="s">
        <v>1111</v>
      </c>
    </row>
    <row r="894" spans="5:5">
      <c r="E894" s="10" t="s">
        <v>1112</v>
      </c>
    </row>
    <row r="895" spans="5:5">
      <c r="E895" s="10" t="s">
        <v>1113</v>
      </c>
    </row>
    <row r="896" spans="5:5">
      <c r="E896" s="10" t="s">
        <v>1114</v>
      </c>
    </row>
    <row r="897" spans="5:5">
      <c r="E897" s="10" t="s">
        <v>1115</v>
      </c>
    </row>
    <row r="898" spans="5:5">
      <c r="E898" s="10" t="s">
        <v>1116</v>
      </c>
    </row>
    <row r="899" spans="5:5">
      <c r="E899" s="10" t="s">
        <v>1117</v>
      </c>
    </row>
    <row r="900" spans="5:5">
      <c r="E900" s="10" t="s">
        <v>1118</v>
      </c>
    </row>
    <row r="901" spans="5:5">
      <c r="E901" s="10" t="s">
        <v>1119</v>
      </c>
    </row>
    <row r="902" spans="5:5">
      <c r="E902" s="10" t="s">
        <v>1120</v>
      </c>
    </row>
    <row r="903" spans="5:5">
      <c r="E903" s="10" t="s">
        <v>1121</v>
      </c>
    </row>
    <row r="904" spans="5:5">
      <c r="E904" s="10" t="s">
        <v>1122</v>
      </c>
    </row>
    <row r="905" spans="5:5">
      <c r="E905" s="10" t="s">
        <v>1123</v>
      </c>
    </row>
    <row r="906" spans="5:5">
      <c r="E906" s="10" t="s">
        <v>1124</v>
      </c>
    </row>
    <row r="907" spans="5:5">
      <c r="E907" s="10" t="s">
        <v>1125</v>
      </c>
    </row>
    <row r="908" spans="5:5">
      <c r="E908" s="10" t="s">
        <v>1126</v>
      </c>
    </row>
    <row r="909" spans="5:5">
      <c r="E909" s="10" t="s">
        <v>1127</v>
      </c>
    </row>
    <row r="910" spans="5:5">
      <c r="E910" s="10" t="s">
        <v>1128</v>
      </c>
    </row>
    <row r="911" spans="5:5">
      <c r="E911" s="10" t="s">
        <v>1129</v>
      </c>
    </row>
    <row r="912" spans="5:5">
      <c r="E912" s="10" t="s">
        <v>1130</v>
      </c>
    </row>
    <row r="913" spans="5:5">
      <c r="E913" s="10" t="s">
        <v>1131</v>
      </c>
    </row>
    <row r="914" spans="5:5">
      <c r="E914" s="10" t="s">
        <v>1132</v>
      </c>
    </row>
    <row r="915" spans="5:5">
      <c r="E915" s="10" t="s">
        <v>1133</v>
      </c>
    </row>
    <row r="916" spans="5:5">
      <c r="E916" s="10" t="s">
        <v>1134</v>
      </c>
    </row>
    <row r="917" spans="5:5">
      <c r="E917" s="10" t="s">
        <v>1135</v>
      </c>
    </row>
    <row r="918" spans="5:5">
      <c r="E918" s="10" t="s">
        <v>1136</v>
      </c>
    </row>
    <row r="919" spans="5:5">
      <c r="E919" s="10" t="s">
        <v>1137</v>
      </c>
    </row>
    <row r="920" spans="5:5">
      <c r="E920" s="10" t="s">
        <v>1138</v>
      </c>
    </row>
    <row r="921" spans="5:5">
      <c r="E921" s="10" t="s">
        <v>1139</v>
      </c>
    </row>
    <row r="922" spans="5:5">
      <c r="E922" s="10" t="s">
        <v>1140</v>
      </c>
    </row>
    <row r="923" spans="5:5">
      <c r="E923" s="10" t="s">
        <v>1141</v>
      </c>
    </row>
    <row r="924" spans="5:5">
      <c r="E924" s="10" t="s">
        <v>1142</v>
      </c>
    </row>
    <row r="925" spans="5:5">
      <c r="E925" s="10" t="s">
        <v>1143</v>
      </c>
    </row>
    <row r="926" spans="5:5">
      <c r="E926" s="10" t="s">
        <v>1144</v>
      </c>
    </row>
    <row r="927" spans="5:5">
      <c r="E927" s="10" t="s">
        <v>1145</v>
      </c>
    </row>
    <row r="928" spans="5:5">
      <c r="E928" s="10" t="s">
        <v>1146</v>
      </c>
    </row>
    <row r="929" spans="5:5">
      <c r="E929" s="10" t="s">
        <v>1147</v>
      </c>
    </row>
    <row r="930" spans="5:5">
      <c r="E930" s="10" t="s">
        <v>1148</v>
      </c>
    </row>
    <row r="931" spans="5:5">
      <c r="E931" s="10" t="s">
        <v>1149</v>
      </c>
    </row>
    <row r="932" spans="5:5">
      <c r="E932" s="10" t="s">
        <v>1150</v>
      </c>
    </row>
    <row r="933" spans="5:5">
      <c r="E933" s="10" t="s">
        <v>1151</v>
      </c>
    </row>
    <row r="934" spans="5:5">
      <c r="E934" s="10" t="s">
        <v>1152</v>
      </c>
    </row>
    <row r="935" spans="5:5">
      <c r="E935" s="10" t="s">
        <v>1153</v>
      </c>
    </row>
    <row r="936" spans="5:5">
      <c r="E936" s="10" t="s">
        <v>1154</v>
      </c>
    </row>
    <row r="937" spans="5:5">
      <c r="E937" s="10" t="s">
        <v>1155</v>
      </c>
    </row>
    <row r="938" spans="5:5">
      <c r="E938" s="10" t="s">
        <v>1156</v>
      </c>
    </row>
    <row r="939" spans="5:5">
      <c r="E939" s="10" t="s">
        <v>1157</v>
      </c>
    </row>
    <row r="940" spans="5:5">
      <c r="E940" s="10" t="s">
        <v>1158</v>
      </c>
    </row>
    <row r="941" spans="5:5">
      <c r="E941" s="10" t="s">
        <v>1159</v>
      </c>
    </row>
    <row r="942" spans="5:5">
      <c r="E942" s="10" t="s">
        <v>1160</v>
      </c>
    </row>
    <row r="943" spans="5:5">
      <c r="E943" s="10" t="s">
        <v>1161</v>
      </c>
    </row>
    <row r="944" spans="5:5">
      <c r="E944" s="10" t="s">
        <v>1162</v>
      </c>
    </row>
    <row r="945" spans="5:5">
      <c r="E945" s="10" t="s">
        <v>1163</v>
      </c>
    </row>
    <row r="946" spans="5:5">
      <c r="E946" s="10" t="s">
        <v>1164</v>
      </c>
    </row>
    <row r="947" spans="5:5">
      <c r="E947" s="10" t="s">
        <v>1165</v>
      </c>
    </row>
    <row r="948" spans="5:5">
      <c r="E948" s="10" t="s">
        <v>1166</v>
      </c>
    </row>
    <row r="949" spans="5:5">
      <c r="E949" s="10" t="s">
        <v>1167</v>
      </c>
    </row>
    <row r="950" spans="5:5">
      <c r="E950" s="10" t="s">
        <v>1168</v>
      </c>
    </row>
    <row r="951" spans="5:5">
      <c r="E951" s="10" t="s">
        <v>1169</v>
      </c>
    </row>
    <row r="952" spans="5:5">
      <c r="E952" s="10" t="s">
        <v>1170</v>
      </c>
    </row>
    <row r="953" spans="5:5">
      <c r="E953" s="10" t="s">
        <v>1171</v>
      </c>
    </row>
    <row r="954" spans="5:5">
      <c r="E954" s="10" t="s">
        <v>1172</v>
      </c>
    </row>
    <row r="955" ht="24" spans="5:5">
      <c r="E955" s="10" t="s">
        <v>1173</v>
      </c>
    </row>
    <row r="956" spans="5:5">
      <c r="E956" s="10" t="s">
        <v>1174</v>
      </c>
    </row>
    <row r="957" ht="24" spans="5:5">
      <c r="E957" s="10" t="s">
        <v>1175</v>
      </c>
    </row>
    <row r="958" spans="5:5">
      <c r="E958" s="10" t="s">
        <v>1176</v>
      </c>
    </row>
    <row r="959" spans="5:5">
      <c r="E959" s="10" t="s">
        <v>1177</v>
      </c>
    </row>
    <row r="960" spans="5:5">
      <c r="E960" s="10" t="s">
        <v>1178</v>
      </c>
    </row>
    <row r="961" spans="5:5">
      <c r="E961" s="10" t="s">
        <v>1179</v>
      </c>
    </row>
    <row r="962" spans="5:5">
      <c r="E962" s="10" t="s">
        <v>1180</v>
      </c>
    </row>
    <row r="963" spans="5:5">
      <c r="E963" s="10" t="s">
        <v>1181</v>
      </c>
    </row>
    <row r="964" spans="5:5">
      <c r="E964" s="10" t="s">
        <v>1182</v>
      </c>
    </row>
    <row r="965" spans="5:5">
      <c r="E965" s="10" t="s">
        <v>1183</v>
      </c>
    </row>
    <row r="966" spans="5:5">
      <c r="E966" s="10" t="s">
        <v>1184</v>
      </c>
    </row>
    <row r="967" spans="5:5">
      <c r="E967" s="10" t="s">
        <v>1185</v>
      </c>
    </row>
    <row r="968" spans="5:5">
      <c r="E968" s="10" t="s">
        <v>1186</v>
      </c>
    </row>
    <row r="969" spans="5:5">
      <c r="E969" s="10" t="s">
        <v>1187</v>
      </c>
    </row>
    <row r="970" spans="5:5">
      <c r="E970" s="10" t="s">
        <v>1188</v>
      </c>
    </row>
    <row r="971" spans="5:5">
      <c r="E971" s="10" t="s">
        <v>1189</v>
      </c>
    </row>
    <row r="972" spans="5:5">
      <c r="E972" s="10" t="s">
        <v>1190</v>
      </c>
    </row>
    <row r="973" spans="5:5">
      <c r="E973" s="10" t="s">
        <v>1191</v>
      </c>
    </row>
    <row r="974" spans="5:5">
      <c r="E974" s="10" t="s">
        <v>1192</v>
      </c>
    </row>
    <row r="975" spans="5:5">
      <c r="E975" s="10" t="s">
        <v>1193</v>
      </c>
    </row>
    <row r="976" spans="5:5">
      <c r="E976" s="10" t="s">
        <v>1194</v>
      </c>
    </row>
    <row r="977" spans="5:5">
      <c r="E977" s="10" t="s">
        <v>1195</v>
      </c>
    </row>
    <row r="978" spans="5:5">
      <c r="E978" s="10" t="s">
        <v>1196</v>
      </c>
    </row>
    <row r="979" spans="5:5">
      <c r="E979" s="10" t="s">
        <v>1197</v>
      </c>
    </row>
    <row r="980" spans="5:5">
      <c r="E980" s="10" t="s">
        <v>1198</v>
      </c>
    </row>
    <row r="981" spans="5:5">
      <c r="E981" s="10" t="s">
        <v>1199</v>
      </c>
    </row>
    <row r="982" spans="5:5">
      <c r="E982" s="10" t="s">
        <v>1200</v>
      </c>
    </row>
    <row r="983" spans="5:5">
      <c r="E983" s="10" t="s">
        <v>1201</v>
      </c>
    </row>
    <row r="984" spans="5:5">
      <c r="E984" s="10" t="s">
        <v>1202</v>
      </c>
    </row>
    <row r="985" spans="5:5">
      <c r="E985" s="10" t="s">
        <v>1203</v>
      </c>
    </row>
    <row r="986" spans="5:5">
      <c r="E986" s="10" t="s">
        <v>1204</v>
      </c>
    </row>
    <row r="987" spans="5:5">
      <c r="E987" s="10" t="s">
        <v>1205</v>
      </c>
    </row>
    <row r="988" spans="5:5">
      <c r="E988" s="10" t="s">
        <v>1206</v>
      </c>
    </row>
    <row r="989" spans="5:5">
      <c r="E989" s="10" t="s">
        <v>1207</v>
      </c>
    </row>
    <row r="990" spans="5:5">
      <c r="E990" s="10" t="s">
        <v>1208</v>
      </c>
    </row>
    <row r="991" spans="5:5">
      <c r="E991" s="10" t="s">
        <v>1209</v>
      </c>
    </row>
    <row r="992" spans="5:5">
      <c r="E992" s="10" t="s">
        <v>1210</v>
      </c>
    </row>
    <row r="993" spans="5:5">
      <c r="E993" s="10" t="s">
        <v>1211</v>
      </c>
    </row>
    <row r="994" spans="5:5">
      <c r="E994" s="10" t="s">
        <v>1212</v>
      </c>
    </row>
    <row r="995" spans="5:5">
      <c r="E995" s="10" t="s">
        <v>1213</v>
      </c>
    </row>
    <row r="996" spans="5:5">
      <c r="E996" s="10" t="s">
        <v>1214</v>
      </c>
    </row>
    <row r="997" spans="5:5">
      <c r="E997" s="10" t="s">
        <v>1215</v>
      </c>
    </row>
    <row r="998" spans="5:5">
      <c r="E998" s="10" t="s">
        <v>1216</v>
      </c>
    </row>
    <row r="999" spans="5:5">
      <c r="E999" s="10" t="s">
        <v>1217</v>
      </c>
    </row>
    <row r="1000" spans="5:5">
      <c r="E1000" s="10" t="s">
        <v>1218</v>
      </c>
    </row>
    <row r="1001" spans="5:5">
      <c r="E1001" s="10" t="s">
        <v>1219</v>
      </c>
    </row>
    <row r="1002" spans="5:5">
      <c r="E1002" s="10" t="s">
        <v>1220</v>
      </c>
    </row>
    <row r="1003" spans="5:5">
      <c r="E1003" s="10" t="s">
        <v>1221</v>
      </c>
    </row>
    <row r="1004" spans="5:5">
      <c r="E1004" s="10" t="s">
        <v>1222</v>
      </c>
    </row>
    <row r="1005" spans="5:5">
      <c r="E1005" s="10" t="s">
        <v>1223</v>
      </c>
    </row>
    <row r="1006" spans="5:5">
      <c r="E1006" s="10" t="s">
        <v>1224</v>
      </c>
    </row>
    <row r="1007" spans="5:5">
      <c r="E1007" s="10" t="s">
        <v>1225</v>
      </c>
    </row>
    <row r="1008" spans="5:5">
      <c r="E1008" s="10" t="s">
        <v>1226</v>
      </c>
    </row>
    <row r="1009" spans="5:5">
      <c r="E1009" s="10" t="s">
        <v>1227</v>
      </c>
    </row>
    <row r="1010" spans="5:5">
      <c r="E1010" s="10" t="s">
        <v>1228</v>
      </c>
    </row>
    <row r="1011" spans="5:5">
      <c r="E1011" s="10" t="s">
        <v>1229</v>
      </c>
    </row>
    <row r="1012" spans="5:5">
      <c r="E1012" s="10" t="s">
        <v>1230</v>
      </c>
    </row>
    <row r="1013" spans="5:5">
      <c r="E1013" s="10" t="s">
        <v>1231</v>
      </c>
    </row>
    <row r="1014" spans="5:5">
      <c r="E1014" s="10" t="s">
        <v>1232</v>
      </c>
    </row>
    <row r="1015" spans="5:5">
      <c r="E1015" s="10" t="s">
        <v>1233</v>
      </c>
    </row>
    <row r="1016" spans="5:5">
      <c r="E1016" s="10" t="s">
        <v>1234</v>
      </c>
    </row>
    <row r="1017" spans="5:5">
      <c r="E1017" s="10" t="s">
        <v>1235</v>
      </c>
    </row>
    <row r="1018" spans="5:5">
      <c r="E1018" s="10" t="s">
        <v>1236</v>
      </c>
    </row>
    <row r="1019" spans="5:5">
      <c r="E1019" s="10" t="s">
        <v>1237</v>
      </c>
    </row>
    <row r="1020" spans="5:5">
      <c r="E1020" s="10" t="s">
        <v>1238</v>
      </c>
    </row>
    <row r="1021" spans="5:5">
      <c r="E1021" s="10" t="s">
        <v>1239</v>
      </c>
    </row>
    <row r="1022" spans="5:5">
      <c r="E1022" s="10" t="s">
        <v>1240</v>
      </c>
    </row>
    <row r="1023" spans="5:5">
      <c r="E1023" s="10" t="s">
        <v>1241</v>
      </c>
    </row>
    <row r="1024" spans="5:5">
      <c r="E1024" s="10" t="s">
        <v>1242</v>
      </c>
    </row>
    <row r="1025" spans="5:5">
      <c r="E1025" s="10" t="s">
        <v>1243</v>
      </c>
    </row>
    <row r="1026" spans="5:5">
      <c r="E1026" s="10" t="s">
        <v>1244</v>
      </c>
    </row>
    <row r="1027" spans="5:5">
      <c r="E1027" s="10" t="s">
        <v>1245</v>
      </c>
    </row>
    <row r="1028" spans="5:5">
      <c r="E1028" s="10" t="s">
        <v>1246</v>
      </c>
    </row>
    <row r="1029" spans="5:5">
      <c r="E1029" s="10" t="s">
        <v>1247</v>
      </c>
    </row>
    <row r="1030" ht="24" spans="5:5">
      <c r="E1030" s="10" t="s">
        <v>1248</v>
      </c>
    </row>
    <row r="1031" ht="24" spans="5:5">
      <c r="E1031" s="10" t="s">
        <v>1249</v>
      </c>
    </row>
    <row r="1032" ht="24" spans="5:5">
      <c r="E1032" s="10" t="s">
        <v>1250</v>
      </c>
    </row>
    <row r="1033" spans="5:5">
      <c r="E1033" s="10" t="s">
        <v>1251</v>
      </c>
    </row>
    <row r="1034" spans="5:5">
      <c r="E1034" s="10" t="s">
        <v>1252</v>
      </c>
    </row>
    <row r="1035" spans="5:5">
      <c r="E1035" s="10" t="s">
        <v>1253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56910579587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看板</vt:lpstr>
      <vt:lpstr>生产明细</vt:lpstr>
      <vt:lpstr>设备状态</vt:lpstr>
      <vt:lpstr>模具状态</vt:lpstr>
      <vt:lpstr>停机记录</vt:lpstr>
      <vt:lpstr>汇总</vt:lpstr>
      <vt:lpstr>基础配置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泵业冲压车间生产状态综合台账</dc:title>
  <dc:creator>openpyxl</dc:creator>
  <cp:lastModifiedBy>Ray</cp:lastModifiedBy>
  <dcterms:created xsi:type="dcterms:W3CDTF">2026-10-01T05:48:00Z</dcterms:created>
  <dcterms:modified xsi:type="dcterms:W3CDTF">2026-10-07T03:06:00Z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{"Label":"1","ContentProducer":"00119111010856365494821B355","ProduceID":"3f0267c583214ed7bc5a2c38bd4ea3a9","ContentPropagator":"00119111010856365494821B355","PropagateID":"3f0267c583214ed7bc5a2c38bd4ea3a9"}</vt:lpwstr>
  </property>
  <property fmtid="{D5CDD505-2E9C-101B-9397-08002B2CF9AE}" pid="3" name="KSOReadingLayout">
    <vt:bool>true</vt:bool>
  </property>
  <property fmtid="{D5CDD505-2E9C-101B-9397-08002B2CF9AE}" pid="4" name="ICV">
    <vt:lpwstr>74856677B760450A9DBFB7EB34CDBFF6_12</vt:lpwstr>
  </property>
  <property fmtid="{D5CDD505-2E9C-101B-9397-08002B2CF9AE}" pid="5" name="KSOProductBuildVer">
    <vt:lpwstr>2052-12.9.0.29121</vt:lpwstr>
  </property>
  <property fmtid="{D5CDD505-2E9C-101B-9397-08002B2CF9AE}" pid="6" name="CalculationRule">
    <vt:i4>0</vt:i4>
  </property>
</Properties>
</file>